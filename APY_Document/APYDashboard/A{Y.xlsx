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shboards\APY\"/>
    </mc:Choice>
  </mc:AlternateContent>
  <xr:revisionPtr revIDLastSave="0" documentId="13_ncr:1_{1AF6A527-035B-4B0C-89C7-7E05B31AB26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APY" sheetId="1" r:id="rId1"/>
    <sheet name="Dashboard1" sheetId="2" r:id="rId2"/>
    <sheet name="Dashboard2" sheetId="4" r:id="rId3"/>
    <sheet name="Sheet1" sheetId="3" r:id="rId4"/>
  </sheets>
  <definedNames>
    <definedName name="_xlcn.WorksheetConnection_APY.xlsxfive" hidden="1">five[]</definedName>
    <definedName name="_xlcn.WorksheetConnection_APY.xlsxone" hidden="1">one[]</definedName>
  </definedNames>
  <calcPr calcId="181029"/>
  <extLst>
    <ext xmlns:x15="http://schemas.microsoft.com/office/spreadsheetml/2010/11/main" uri="{FCE2AD5D-F65C-4FA6-A056-5C36A1767C68}">
      <x15:dataModel>
        <x15:modelTables>
          <x15:modelTable id="five" name="five" connection="WorksheetConnection_APY.xlsx!five"/>
          <x15:modelTable id="one" name="one" connection="WorksheetConnection_APY.xlsx!one"/>
        </x15:modelTables>
      </x15:dataModel>
    </ext>
  </extLst>
</workbook>
</file>

<file path=xl/calcChain.xml><?xml version="1.0" encoding="utf-8"?>
<calcChain xmlns="http://schemas.openxmlformats.org/spreadsheetml/2006/main">
  <c r="E39" i="1" l="1"/>
  <c r="B2" i="3"/>
  <c r="B3" i="3" s="1"/>
  <c r="B4" i="3" s="1"/>
  <c r="E2" i="3" s="1"/>
  <c r="K8" i="3"/>
  <c r="K9" i="3"/>
  <c r="N15" i="3" s="1"/>
  <c r="G8" i="3"/>
  <c r="G9" i="3"/>
  <c r="N14" i="3" s="1"/>
  <c r="C8" i="3"/>
  <c r="C9" i="3"/>
  <c r="N13" i="3" s="1"/>
  <c r="D5" i="3"/>
  <c r="E5" i="3" s="1"/>
  <c r="N10" i="3" s="1"/>
  <c r="I10" i="3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E10" i="3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A10" i="3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2182" i="3" s="1"/>
  <c r="A2183" i="3" s="1"/>
  <c r="A2184" i="3" s="1"/>
  <c r="A2185" i="3" s="1"/>
  <c r="A2186" i="3" s="1"/>
  <c r="A2187" i="3" s="1"/>
  <c r="A2188" i="3" s="1"/>
  <c r="A2189" i="3" s="1"/>
  <c r="A2190" i="3" s="1"/>
  <c r="A2191" i="3" s="1"/>
  <c r="A2192" i="3" s="1"/>
  <c r="A2193" i="3" s="1"/>
  <c r="A2194" i="3" s="1"/>
  <c r="A2195" i="3" s="1"/>
  <c r="A2196" i="3" s="1"/>
  <c r="A2197" i="3" s="1"/>
  <c r="A2198" i="3" s="1"/>
  <c r="A2199" i="3" s="1"/>
  <c r="A2200" i="3" s="1"/>
  <c r="A2201" i="3" s="1"/>
  <c r="A2202" i="3" s="1"/>
  <c r="A2203" i="3" s="1"/>
  <c r="A2204" i="3" s="1"/>
  <c r="A2205" i="3" s="1"/>
  <c r="A2206" i="3" s="1"/>
  <c r="A2207" i="3" s="1"/>
  <c r="A2208" i="3" s="1"/>
  <c r="A2209" i="3" s="1"/>
  <c r="A2210" i="3" s="1"/>
  <c r="A2211" i="3" s="1"/>
  <c r="A2212" i="3" s="1"/>
  <c r="A2213" i="3" s="1"/>
  <c r="A2214" i="3" s="1"/>
  <c r="A2215" i="3" s="1"/>
  <c r="A2216" i="3" s="1"/>
  <c r="A2217" i="3" s="1"/>
  <c r="A2218" i="3" s="1"/>
  <c r="A2219" i="3" s="1"/>
  <c r="A2220" i="3" s="1"/>
  <c r="A2221" i="3" s="1"/>
  <c r="A2222" i="3" s="1"/>
  <c r="A2223" i="3" s="1"/>
  <c r="A2224" i="3" s="1"/>
  <c r="A2225" i="3" s="1"/>
  <c r="A2226" i="3" s="1"/>
  <c r="A2227" i="3" s="1"/>
  <c r="A2228" i="3" s="1"/>
  <c r="A2229" i="3" s="1"/>
  <c r="A2230" i="3" s="1"/>
  <c r="A2231" i="3" s="1"/>
  <c r="A2232" i="3" s="1"/>
  <c r="A2233" i="3" s="1"/>
  <c r="A2234" i="3" s="1"/>
  <c r="A2235" i="3" s="1"/>
  <c r="A2236" i="3" s="1"/>
  <c r="A2237" i="3" s="1"/>
  <c r="A2238" i="3" s="1"/>
  <c r="A2239" i="3" s="1"/>
  <c r="A2240" i="3" s="1"/>
  <c r="A2241" i="3" s="1"/>
  <c r="A2242" i="3" s="1"/>
  <c r="A2243" i="3" s="1"/>
  <c r="A2244" i="3" s="1"/>
  <c r="A2245" i="3" s="1"/>
  <c r="A2246" i="3" s="1"/>
  <c r="A2247" i="3" s="1"/>
  <c r="A2248" i="3" s="1"/>
  <c r="A2249" i="3" s="1"/>
  <c r="A2250" i="3" s="1"/>
  <c r="A2251" i="3" s="1"/>
  <c r="A2252" i="3" s="1"/>
  <c r="A2253" i="3" s="1"/>
  <c r="A2254" i="3" s="1"/>
  <c r="A2255" i="3" s="1"/>
  <c r="A2256" i="3" s="1"/>
  <c r="A2257" i="3" s="1"/>
  <c r="A2258" i="3" s="1"/>
  <c r="A2259" i="3" s="1"/>
  <c r="A2260" i="3" s="1"/>
  <c r="A2261" i="3" s="1"/>
  <c r="A2262" i="3" s="1"/>
  <c r="A2263" i="3" s="1"/>
  <c r="A2264" i="3" s="1"/>
  <c r="A2265" i="3" s="1"/>
  <c r="A2266" i="3" s="1"/>
  <c r="A2267" i="3" s="1"/>
  <c r="A2268" i="3" s="1"/>
  <c r="A2269" i="3" s="1"/>
  <c r="A2270" i="3" s="1"/>
  <c r="A2271" i="3" s="1"/>
  <c r="A2272" i="3" s="1"/>
  <c r="A2273" i="3" s="1"/>
  <c r="A2274" i="3" s="1"/>
  <c r="A2275" i="3" s="1"/>
  <c r="A2276" i="3" s="1"/>
  <c r="A2277" i="3" s="1"/>
  <c r="A2278" i="3" s="1"/>
  <c r="A2279" i="3" s="1"/>
  <c r="A2280" i="3" s="1"/>
  <c r="A2281" i="3" s="1"/>
  <c r="A2282" i="3" s="1"/>
  <c r="A2283" i="3" s="1"/>
  <c r="A2284" i="3" s="1"/>
  <c r="A2285" i="3" s="1"/>
  <c r="A2286" i="3" s="1"/>
  <c r="A2287" i="3" s="1"/>
  <c r="A2288" i="3" s="1"/>
  <c r="A2289" i="3" s="1"/>
  <c r="A2290" i="3" s="1"/>
  <c r="A2291" i="3" s="1"/>
  <c r="A2292" i="3" s="1"/>
  <c r="A2293" i="3" s="1"/>
  <c r="A2294" i="3" s="1"/>
  <c r="A2295" i="3" s="1"/>
  <c r="A2296" i="3" s="1"/>
  <c r="A2297" i="3" s="1"/>
  <c r="A2298" i="3" s="1"/>
  <c r="A2299" i="3" s="1"/>
  <c r="A2300" i="3" s="1"/>
  <c r="A2301" i="3" s="1"/>
  <c r="A2302" i="3" s="1"/>
  <c r="A2303" i="3" s="1"/>
  <c r="A2304" i="3" s="1"/>
  <c r="A2305" i="3" s="1"/>
  <c r="A2306" i="3" s="1"/>
  <c r="A2307" i="3" s="1"/>
  <c r="A2308" i="3" s="1"/>
  <c r="A2309" i="3" s="1"/>
  <c r="A2310" i="3" s="1"/>
  <c r="A2311" i="3" s="1"/>
  <c r="A2312" i="3" s="1"/>
  <c r="A2313" i="3" s="1"/>
  <c r="A2314" i="3" s="1"/>
  <c r="A2315" i="3" s="1"/>
  <c r="A2316" i="3" s="1"/>
  <c r="A2317" i="3" s="1"/>
  <c r="A2318" i="3" s="1"/>
  <c r="A2319" i="3" s="1"/>
  <c r="A2320" i="3" s="1"/>
  <c r="A2321" i="3" s="1"/>
  <c r="A2322" i="3" s="1"/>
  <c r="A2323" i="3" s="1"/>
  <c r="A2324" i="3" s="1"/>
  <c r="A2325" i="3" s="1"/>
  <c r="A2326" i="3" s="1"/>
  <c r="A2327" i="3" s="1"/>
  <c r="A2328" i="3" s="1"/>
  <c r="A2329" i="3" s="1"/>
  <c r="A2330" i="3" s="1"/>
  <c r="A2331" i="3" s="1"/>
  <c r="A2332" i="3" s="1"/>
  <c r="A2333" i="3" s="1"/>
  <c r="A2334" i="3" s="1"/>
  <c r="A2335" i="3" s="1"/>
  <c r="A2336" i="3" s="1"/>
  <c r="A2337" i="3" s="1"/>
  <c r="A2338" i="3" s="1"/>
  <c r="A2339" i="3" s="1"/>
  <c r="A2340" i="3" s="1"/>
  <c r="A2341" i="3" s="1"/>
  <c r="A2342" i="3" s="1"/>
  <c r="A2343" i="3" s="1"/>
  <c r="A2344" i="3" s="1"/>
  <c r="A2345" i="3" s="1"/>
  <c r="A2346" i="3" s="1"/>
  <c r="A2347" i="3" s="1"/>
  <c r="A2348" i="3" s="1"/>
  <c r="A2349" i="3" s="1"/>
  <c r="A2350" i="3" s="1"/>
  <c r="A2351" i="3" s="1"/>
  <c r="A2352" i="3" s="1"/>
  <c r="A2353" i="3" s="1"/>
  <c r="A2354" i="3" s="1"/>
  <c r="A2355" i="3" s="1"/>
  <c r="A2356" i="3" s="1"/>
  <c r="A2357" i="3" s="1"/>
  <c r="A2358" i="3" s="1"/>
  <c r="A2359" i="3" s="1"/>
  <c r="A2360" i="3" s="1"/>
  <c r="A2361" i="3" s="1"/>
  <c r="A2362" i="3" s="1"/>
  <c r="A2363" i="3" s="1"/>
  <c r="A2364" i="3" s="1"/>
  <c r="A2365" i="3" s="1"/>
  <c r="A2366" i="3" s="1"/>
  <c r="A2367" i="3" s="1"/>
  <c r="A2368" i="3" s="1"/>
  <c r="A2369" i="3" s="1"/>
  <c r="A2370" i="3" s="1"/>
  <c r="A2371" i="3" s="1"/>
  <c r="A2372" i="3" s="1"/>
  <c r="A2373" i="3" s="1"/>
  <c r="A2374" i="3" s="1"/>
  <c r="A2375" i="3" s="1"/>
  <c r="A2376" i="3" s="1"/>
  <c r="A2377" i="3" s="1"/>
  <c r="A2378" i="3" s="1"/>
  <c r="A2379" i="3" s="1"/>
  <c r="A2380" i="3" s="1"/>
  <c r="A2381" i="3" s="1"/>
  <c r="A2382" i="3" s="1"/>
  <c r="A2383" i="3" s="1"/>
  <c r="A2384" i="3" s="1"/>
  <c r="A2385" i="3" s="1"/>
  <c r="A2386" i="3" s="1"/>
  <c r="A2387" i="3" s="1"/>
  <c r="A2388" i="3" s="1"/>
  <c r="A2389" i="3" s="1"/>
  <c r="A2390" i="3" s="1"/>
  <c r="A2391" i="3" s="1"/>
  <c r="A2392" i="3" s="1"/>
  <c r="A2393" i="3" s="1"/>
  <c r="A2394" i="3" s="1"/>
  <c r="A2395" i="3" s="1"/>
  <c r="A2396" i="3" s="1"/>
  <c r="A2397" i="3" s="1"/>
  <c r="A2398" i="3" s="1"/>
  <c r="A2399" i="3" s="1"/>
  <c r="A2400" i="3" s="1"/>
  <c r="A2401" i="3" s="1"/>
  <c r="A2402" i="3" s="1"/>
  <c r="A2403" i="3" s="1"/>
  <c r="A2404" i="3" s="1"/>
  <c r="A2405" i="3" s="1"/>
  <c r="A2406" i="3" s="1"/>
  <c r="A2407" i="3" s="1"/>
  <c r="A2408" i="3" s="1"/>
  <c r="A2409" i="3" s="1"/>
  <c r="A2410" i="3" s="1"/>
  <c r="A2411" i="3" s="1"/>
  <c r="A2412" i="3" s="1"/>
  <c r="A2413" i="3" s="1"/>
  <c r="A2414" i="3" s="1"/>
  <c r="A2415" i="3" s="1"/>
  <c r="A2416" i="3" s="1"/>
  <c r="A2417" i="3" s="1"/>
  <c r="A2418" i="3" s="1"/>
  <c r="A2419" i="3" s="1"/>
  <c r="A2420" i="3" s="1"/>
  <c r="A2421" i="3" s="1"/>
  <c r="A2422" i="3" s="1"/>
  <c r="A2423" i="3" s="1"/>
  <c r="A2424" i="3" s="1"/>
  <c r="A2425" i="3" s="1"/>
  <c r="A2426" i="3" s="1"/>
  <c r="A2427" i="3" s="1"/>
  <c r="A2428" i="3" s="1"/>
  <c r="A2429" i="3" s="1"/>
  <c r="A2430" i="3" s="1"/>
  <c r="A2431" i="3" s="1"/>
  <c r="A2432" i="3" s="1"/>
  <c r="A2433" i="3" s="1"/>
  <c r="A2434" i="3" s="1"/>
  <c r="A2435" i="3" s="1"/>
  <c r="A2436" i="3" s="1"/>
  <c r="A2437" i="3" s="1"/>
  <c r="A2438" i="3" s="1"/>
  <c r="A2439" i="3" s="1"/>
  <c r="A2440" i="3" s="1"/>
  <c r="A2441" i="3" s="1"/>
  <c r="A2442" i="3" s="1"/>
  <c r="A2443" i="3" s="1"/>
  <c r="A2444" i="3" s="1"/>
  <c r="A2445" i="3" s="1"/>
  <c r="A2446" i="3" s="1"/>
  <c r="A2447" i="3" s="1"/>
  <c r="A2448" i="3" s="1"/>
  <c r="A2449" i="3" s="1"/>
  <c r="A2450" i="3" s="1"/>
  <c r="A2451" i="3" s="1"/>
  <c r="A2452" i="3" s="1"/>
  <c r="A2453" i="3" s="1"/>
  <c r="A2454" i="3" s="1"/>
  <c r="A2455" i="3" s="1"/>
  <c r="A2456" i="3" s="1"/>
  <c r="A2457" i="3" s="1"/>
  <c r="A2458" i="3" s="1"/>
  <c r="A2459" i="3" s="1"/>
  <c r="A2460" i="3" s="1"/>
  <c r="A2461" i="3" s="1"/>
  <c r="A2462" i="3" s="1"/>
  <c r="A2463" i="3" s="1"/>
  <c r="A2464" i="3" s="1"/>
  <c r="A2465" i="3" s="1"/>
  <c r="A2466" i="3" s="1"/>
  <c r="A2467" i="3" s="1"/>
  <c r="A2468" i="3" s="1"/>
  <c r="A2469" i="3" s="1"/>
  <c r="A2470" i="3" s="1"/>
  <c r="A2471" i="3" s="1"/>
  <c r="A2472" i="3" s="1"/>
  <c r="A2473" i="3" s="1"/>
  <c r="A2474" i="3" s="1"/>
  <c r="A2475" i="3" s="1"/>
  <c r="A2476" i="3" s="1"/>
  <c r="A2477" i="3" s="1"/>
  <c r="A2478" i="3" s="1"/>
  <c r="A2479" i="3" s="1"/>
  <c r="A2480" i="3" s="1"/>
  <c r="A2481" i="3" s="1"/>
  <c r="A2482" i="3" s="1"/>
  <c r="A2483" i="3" s="1"/>
  <c r="A2484" i="3" s="1"/>
  <c r="A2485" i="3" s="1"/>
  <c r="A2486" i="3" s="1"/>
  <c r="A2487" i="3" s="1"/>
  <c r="A2488" i="3" s="1"/>
  <c r="A2489" i="3" s="1"/>
  <c r="A2490" i="3" s="1"/>
  <c r="A2491" i="3" s="1"/>
  <c r="A2492" i="3" s="1"/>
  <c r="A2493" i="3" s="1"/>
  <c r="A2494" i="3" s="1"/>
  <c r="A2495" i="3" s="1"/>
  <c r="A2496" i="3" s="1"/>
  <c r="A2497" i="3" s="1"/>
  <c r="A2498" i="3" s="1"/>
  <c r="A2499" i="3" s="1"/>
  <c r="A2500" i="3" s="1"/>
  <c r="A2501" i="3" s="1"/>
  <c r="A2502" i="3" s="1"/>
  <c r="A2503" i="3" s="1"/>
  <c r="A2504" i="3" s="1"/>
  <c r="A2505" i="3" s="1"/>
  <c r="A2506" i="3" s="1"/>
  <c r="A2507" i="3" s="1"/>
  <c r="A2508" i="3" s="1"/>
  <c r="A2509" i="3" s="1"/>
  <c r="A2510" i="3" s="1"/>
  <c r="A2511" i="3" s="1"/>
  <c r="A2512" i="3" s="1"/>
  <c r="A2513" i="3" s="1"/>
  <c r="A2514" i="3" s="1"/>
  <c r="A2515" i="3" s="1"/>
  <c r="A2516" i="3" s="1"/>
  <c r="A2517" i="3" s="1"/>
  <c r="A2518" i="3" s="1"/>
  <c r="A2519" i="3" s="1"/>
  <c r="A2520" i="3" s="1"/>
  <c r="A2521" i="3" s="1"/>
  <c r="A2522" i="3" s="1"/>
  <c r="A2523" i="3" s="1"/>
  <c r="A2524" i="3" s="1"/>
  <c r="A2525" i="3" s="1"/>
  <c r="A2526" i="3" s="1"/>
  <c r="A2527" i="3" s="1"/>
  <c r="A2528" i="3" s="1"/>
  <c r="A2529" i="3" s="1"/>
  <c r="A2530" i="3" s="1"/>
  <c r="A2531" i="3" s="1"/>
  <c r="A2532" i="3" s="1"/>
  <c r="A2533" i="3" s="1"/>
  <c r="A2534" i="3" s="1"/>
  <c r="A2535" i="3" s="1"/>
  <c r="A2536" i="3" s="1"/>
  <c r="A2537" i="3" s="1"/>
  <c r="A2538" i="3" s="1"/>
  <c r="A2539" i="3" s="1"/>
  <c r="A2540" i="3" s="1"/>
  <c r="A2541" i="3" s="1"/>
  <c r="A2542" i="3" s="1"/>
  <c r="A2543" i="3" s="1"/>
  <c r="A2544" i="3" s="1"/>
  <c r="A2545" i="3" s="1"/>
  <c r="A2546" i="3" s="1"/>
  <c r="A2547" i="3" s="1"/>
  <c r="A2548" i="3" s="1"/>
  <c r="A2549" i="3" s="1"/>
  <c r="A2550" i="3" s="1"/>
  <c r="A2551" i="3" s="1"/>
  <c r="A2552" i="3" s="1"/>
  <c r="A2553" i="3" s="1"/>
  <c r="A2554" i="3" s="1"/>
  <c r="A2555" i="3" s="1"/>
  <c r="A2556" i="3" s="1"/>
  <c r="A2557" i="3" s="1"/>
  <c r="A2558" i="3" s="1"/>
  <c r="A2559" i="3" s="1"/>
  <c r="A2560" i="3" s="1"/>
  <c r="A2561" i="3" s="1"/>
  <c r="A2562" i="3" s="1"/>
  <c r="A2563" i="3" s="1"/>
  <c r="A2564" i="3" s="1"/>
  <c r="A2565" i="3" s="1"/>
  <c r="A2566" i="3" s="1"/>
  <c r="A2567" i="3" s="1"/>
  <c r="A2568" i="3" s="1"/>
  <c r="A2569" i="3" s="1"/>
  <c r="A2570" i="3" s="1"/>
  <c r="A2571" i="3" s="1"/>
  <c r="A2572" i="3" s="1"/>
  <c r="A2573" i="3" s="1"/>
  <c r="A2574" i="3" s="1"/>
  <c r="A2575" i="3" s="1"/>
  <c r="A2576" i="3" s="1"/>
  <c r="A2577" i="3" s="1"/>
  <c r="A2578" i="3" s="1"/>
  <c r="A2579" i="3" s="1"/>
  <c r="A2580" i="3" s="1"/>
  <c r="A2581" i="3" s="1"/>
  <c r="A2582" i="3" s="1"/>
  <c r="A2583" i="3" s="1"/>
  <c r="A2584" i="3" s="1"/>
  <c r="A2585" i="3" s="1"/>
  <c r="A2586" i="3" s="1"/>
  <c r="A2587" i="3" s="1"/>
  <c r="A2588" i="3" s="1"/>
  <c r="A2589" i="3" s="1"/>
  <c r="A2590" i="3" s="1"/>
  <c r="A2591" i="3" s="1"/>
  <c r="A2592" i="3" s="1"/>
  <c r="A2593" i="3" s="1"/>
  <c r="A2594" i="3" s="1"/>
  <c r="A2595" i="3" s="1"/>
  <c r="A2596" i="3" s="1"/>
  <c r="A2597" i="3" s="1"/>
  <c r="A2598" i="3" s="1"/>
  <c r="A2599" i="3" s="1"/>
  <c r="A2600" i="3" s="1"/>
  <c r="A2601" i="3" s="1"/>
  <c r="A2602" i="3" s="1"/>
  <c r="A2603" i="3" s="1"/>
  <c r="A2604" i="3" s="1"/>
  <c r="A2605" i="3" s="1"/>
  <c r="A2606" i="3" s="1"/>
  <c r="A2607" i="3" s="1"/>
  <c r="A2608" i="3" s="1"/>
  <c r="A2609" i="3" s="1"/>
  <c r="A2610" i="3" s="1"/>
  <c r="A2611" i="3" s="1"/>
  <c r="A2612" i="3" s="1"/>
  <c r="A2613" i="3" s="1"/>
  <c r="A2614" i="3" s="1"/>
  <c r="A2615" i="3" s="1"/>
  <c r="A2616" i="3" s="1"/>
  <c r="A2617" i="3" s="1"/>
  <c r="A2618" i="3" s="1"/>
  <c r="A2619" i="3" s="1"/>
  <c r="A2620" i="3" s="1"/>
  <c r="A2621" i="3" s="1"/>
  <c r="A2622" i="3" s="1"/>
  <c r="A2623" i="3" s="1"/>
  <c r="A2624" i="3" s="1"/>
  <c r="A2625" i="3" s="1"/>
  <c r="A2626" i="3" s="1"/>
  <c r="A2627" i="3" s="1"/>
  <c r="A2628" i="3" s="1"/>
  <c r="A2629" i="3" s="1"/>
  <c r="A2630" i="3" s="1"/>
  <c r="A2631" i="3" s="1"/>
  <c r="A2632" i="3" s="1"/>
  <c r="A2633" i="3" s="1"/>
  <c r="A2634" i="3" s="1"/>
  <c r="A2635" i="3" s="1"/>
  <c r="A2636" i="3" s="1"/>
  <c r="A2637" i="3" s="1"/>
  <c r="A2638" i="3" s="1"/>
  <c r="A2639" i="3" s="1"/>
  <c r="A2640" i="3" s="1"/>
  <c r="A2641" i="3" s="1"/>
  <c r="A2642" i="3" s="1"/>
  <c r="A2643" i="3" s="1"/>
  <c r="A2644" i="3" s="1"/>
  <c r="A2645" i="3" s="1"/>
  <c r="A2646" i="3" s="1"/>
  <c r="A2647" i="3" s="1"/>
  <c r="A2648" i="3" s="1"/>
  <c r="A2649" i="3" s="1"/>
  <c r="A2650" i="3" s="1"/>
  <c r="A2651" i="3" s="1"/>
  <c r="A2652" i="3" s="1"/>
  <c r="A2653" i="3" s="1"/>
  <c r="A2654" i="3" s="1"/>
  <c r="A2655" i="3" s="1"/>
  <c r="A2656" i="3" s="1"/>
  <c r="A2657" i="3" s="1"/>
  <c r="A2658" i="3" s="1"/>
  <c r="A2659" i="3" s="1"/>
  <c r="A2660" i="3" s="1"/>
  <c r="A2661" i="3" s="1"/>
  <c r="A2662" i="3" s="1"/>
  <c r="A2663" i="3" s="1"/>
  <c r="A2664" i="3" s="1"/>
  <c r="A2665" i="3" s="1"/>
  <c r="A2666" i="3" s="1"/>
  <c r="A2667" i="3" s="1"/>
  <c r="A2668" i="3" s="1"/>
  <c r="A2669" i="3" s="1"/>
  <c r="A2670" i="3" s="1"/>
  <c r="A2671" i="3" s="1"/>
  <c r="A2672" i="3" s="1"/>
  <c r="A2673" i="3" s="1"/>
  <c r="A2674" i="3" s="1"/>
  <c r="A2675" i="3" s="1"/>
  <c r="A2676" i="3" s="1"/>
  <c r="A2677" i="3" s="1"/>
  <c r="A2678" i="3" s="1"/>
  <c r="A2679" i="3" s="1"/>
  <c r="A2680" i="3" s="1"/>
  <c r="A2681" i="3" s="1"/>
  <c r="A2682" i="3" s="1"/>
  <c r="A2683" i="3" s="1"/>
  <c r="A2684" i="3" s="1"/>
  <c r="A2685" i="3" s="1"/>
  <c r="A2686" i="3" s="1"/>
  <c r="A2687" i="3" s="1"/>
  <c r="A2688" i="3" s="1"/>
  <c r="A2689" i="3" s="1"/>
  <c r="A2690" i="3" s="1"/>
  <c r="A2691" i="3" s="1"/>
  <c r="A2692" i="3" s="1"/>
  <c r="A2693" i="3" s="1"/>
  <c r="A2694" i="3" s="1"/>
  <c r="A2695" i="3" s="1"/>
  <c r="A2696" i="3" s="1"/>
  <c r="A2697" i="3" s="1"/>
  <c r="A2698" i="3" s="1"/>
  <c r="A2699" i="3" s="1"/>
  <c r="A2700" i="3" s="1"/>
  <c r="A2701" i="3" s="1"/>
  <c r="A2702" i="3" s="1"/>
  <c r="A2703" i="3" s="1"/>
  <c r="A2704" i="3" s="1"/>
  <c r="A2705" i="3" s="1"/>
  <c r="A2706" i="3" s="1"/>
  <c r="A2707" i="3" s="1"/>
  <c r="A2708" i="3" s="1"/>
  <c r="A2709" i="3" s="1"/>
  <c r="A2710" i="3" s="1"/>
  <c r="A2711" i="3" s="1"/>
  <c r="A2712" i="3" s="1"/>
  <c r="A2713" i="3" s="1"/>
  <c r="A2714" i="3" s="1"/>
  <c r="A2715" i="3" s="1"/>
  <c r="A2716" i="3" s="1"/>
  <c r="A2717" i="3" s="1"/>
  <c r="A2718" i="3" s="1"/>
  <c r="A2719" i="3" s="1"/>
  <c r="A2720" i="3" s="1"/>
  <c r="A2721" i="3" s="1"/>
  <c r="A2722" i="3" s="1"/>
  <c r="A2723" i="3" s="1"/>
  <c r="A2724" i="3" s="1"/>
  <c r="A2725" i="3" s="1"/>
  <c r="A2726" i="3" s="1"/>
  <c r="A2727" i="3" s="1"/>
  <c r="A2728" i="3" s="1"/>
  <c r="A2729" i="3" s="1"/>
  <c r="A2730" i="3" s="1"/>
  <c r="A2731" i="3" s="1"/>
  <c r="A2732" i="3" s="1"/>
  <c r="A2733" i="3" s="1"/>
  <c r="A2734" i="3" s="1"/>
  <c r="A2735" i="3" s="1"/>
  <c r="A2736" i="3" s="1"/>
  <c r="A2737" i="3" s="1"/>
  <c r="A2738" i="3" s="1"/>
  <c r="A2739" i="3" s="1"/>
  <c r="A2740" i="3" s="1"/>
  <c r="A2741" i="3" s="1"/>
  <c r="A2742" i="3" s="1"/>
  <c r="A2743" i="3" s="1"/>
  <c r="A2744" i="3" s="1"/>
  <c r="A2745" i="3" s="1"/>
  <c r="A2746" i="3" s="1"/>
  <c r="A2747" i="3" s="1"/>
  <c r="A2748" i="3" s="1"/>
  <c r="A2749" i="3" s="1"/>
  <c r="A2750" i="3" s="1"/>
  <c r="A2751" i="3" s="1"/>
  <c r="A2752" i="3" s="1"/>
  <c r="A2753" i="3" s="1"/>
  <c r="A2754" i="3" s="1"/>
  <c r="A2755" i="3" s="1"/>
  <c r="A2756" i="3" s="1"/>
  <c r="A2757" i="3" s="1"/>
  <c r="A2758" i="3" s="1"/>
  <c r="A2759" i="3" s="1"/>
  <c r="A2760" i="3" s="1"/>
  <c r="A2761" i="3" s="1"/>
  <c r="A2762" i="3" s="1"/>
  <c r="A2763" i="3" s="1"/>
  <c r="A2764" i="3" s="1"/>
  <c r="A2765" i="3" s="1"/>
  <c r="A2766" i="3" s="1"/>
  <c r="A2767" i="3" s="1"/>
  <c r="A2768" i="3" s="1"/>
  <c r="A2769" i="3" s="1"/>
  <c r="A2770" i="3" s="1"/>
  <c r="A2771" i="3" s="1"/>
  <c r="A2772" i="3" s="1"/>
  <c r="A2773" i="3" s="1"/>
  <c r="A2774" i="3" s="1"/>
  <c r="A2775" i="3" s="1"/>
  <c r="A2776" i="3" s="1"/>
  <c r="A2777" i="3" s="1"/>
  <c r="A2778" i="3" s="1"/>
  <c r="A2779" i="3" s="1"/>
  <c r="A2780" i="3" s="1"/>
  <c r="A2781" i="3" s="1"/>
  <c r="A2782" i="3" s="1"/>
  <c r="A2783" i="3" s="1"/>
  <c r="A2784" i="3" s="1"/>
  <c r="A2785" i="3" s="1"/>
  <c r="A2786" i="3" s="1"/>
  <c r="A2787" i="3" s="1"/>
  <c r="A2788" i="3" s="1"/>
  <c r="A2789" i="3" s="1"/>
  <c r="A2790" i="3" s="1"/>
  <c r="A2791" i="3" s="1"/>
  <c r="A2792" i="3" s="1"/>
  <c r="A2793" i="3" s="1"/>
  <c r="A2794" i="3" s="1"/>
  <c r="A2795" i="3" s="1"/>
  <c r="A2796" i="3" s="1"/>
  <c r="A2797" i="3" s="1"/>
  <c r="A2798" i="3" s="1"/>
  <c r="A2799" i="3" s="1"/>
  <c r="A2800" i="3" s="1"/>
  <c r="A2801" i="3" s="1"/>
  <c r="A2802" i="3" s="1"/>
  <c r="A2803" i="3" s="1"/>
  <c r="A2804" i="3" s="1"/>
  <c r="A2805" i="3" s="1"/>
  <c r="A2806" i="3" s="1"/>
  <c r="A2807" i="3" s="1"/>
  <c r="A2808" i="3" s="1"/>
  <c r="A2809" i="3" s="1"/>
  <c r="A2810" i="3" s="1"/>
  <c r="A2811" i="3" s="1"/>
  <c r="A2812" i="3" s="1"/>
  <c r="A2813" i="3" s="1"/>
  <c r="A2814" i="3" s="1"/>
  <c r="A2815" i="3" s="1"/>
  <c r="A2816" i="3" s="1"/>
  <c r="A2817" i="3" s="1"/>
  <c r="A2818" i="3" s="1"/>
  <c r="A2819" i="3" s="1"/>
  <c r="A2820" i="3" s="1"/>
  <c r="A2821" i="3" s="1"/>
  <c r="A2822" i="3" s="1"/>
  <c r="A2823" i="3" s="1"/>
  <c r="A2824" i="3" s="1"/>
  <c r="A2825" i="3" s="1"/>
  <c r="A2826" i="3" s="1"/>
  <c r="A2827" i="3" s="1"/>
  <c r="A2828" i="3" s="1"/>
  <c r="A2829" i="3" s="1"/>
  <c r="A2830" i="3" s="1"/>
  <c r="A2831" i="3" s="1"/>
  <c r="A2832" i="3" s="1"/>
  <c r="A2833" i="3" s="1"/>
  <c r="A2834" i="3" s="1"/>
  <c r="A2835" i="3" s="1"/>
  <c r="A2836" i="3" s="1"/>
  <c r="A2837" i="3" s="1"/>
  <c r="A2838" i="3" s="1"/>
  <c r="A2839" i="3" s="1"/>
  <c r="A2840" i="3" s="1"/>
  <c r="A2841" i="3" s="1"/>
  <c r="A2842" i="3" s="1"/>
  <c r="A2843" i="3" s="1"/>
  <c r="A2844" i="3" s="1"/>
  <c r="A2845" i="3" s="1"/>
  <c r="A2846" i="3" s="1"/>
  <c r="A2847" i="3" s="1"/>
  <c r="A2848" i="3" s="1"/>
  <c r="A2849" i="3" s="1"/>
  <c r="A2850" i="3" s="1"/>
  <c r="A2851" i="3" s="1"/>
  <c r="A2852" i="3" s="1"/>
  <c r="A2853" i="3" s="1"/>
  <c r="A2854" i="3" s="1"/>
  <c r="A2855" i="3" s="1"/>
  <c r="A2856" i="3" s="1"/>
  <c r="A2857" i="3" s="1"/>
  <c r="A2858" i="3" s="1"/>
  <c r="A2859" i="3" s="1"/>
  <c r="A2860" i="3" s="1"/>
  <c r="A2861" i="3" s="1"/>
  <c r="A2862" i="3" s="1"/>
  <c r="A2863" i="3" s="1"/>
  <c r="A2864" i="3" s="1"/>
  <c r="A2865" i="3" s="1"/>
  <c r="A2866" i="3" s="1"/>
  <c r="A2867" i="3" s="1"/>
  <c r="A2868" i="3" s="1"/>
  <c r="A2869" i="3" s="1"/>
  <c r="A2870" i="3" s="1"/>
  <c r="A2871" i="3" s="1"/>
  <c r="A2872" i="3" s="1"/>
  <c r="A2873" i="3" s="1"/>
  <c r="A2874" i="3" s="1"/>
  <c r="A2875" i="3" s="1"/>
  <c r="A2876" i="3" s="1"/>
  <c r="A2877" i="3" s="1"/>
  <c r="A2878" i="3" s="1"/>
  <c r="A2879" i="3" s="1"/>
  <c r="A2880" i="3" s="1"/>
  <c r="A2881" i="3" s="1"/>
  <c r="A2882" i="3" s="1"/>
  <c r="A2883" i="3" s="1"/>
  <c r="A2884" i="3" s="1"/>
  <c r="A2885" i="3" s="1"/>
  <c r="A2886" i="3" s="1"/>
  <c r="A2887" i="3" s="1"/>
  <c r="A2888" i="3" s="1"/>
  <c r="A2889" i="3" s="1"/>
  <c r="A2890" i="3" s="1"/>
  <c r="A2891" i="3" s="1"/>
  <c r="A2892" i="3" s="1"/>
  <c r="A2893" i="3" s="1"/>
  <c r="A2894" i="3" s="1"/>
  <c r="A2895" i="3" s="1"/>
  <c r="A2896" i="3" s="1"/>
  <c r="A2897" i="3" s="1"/>
  <c r="A2898" i="3" s="1"/>
  <c r="A2899" i="3" s="1"/>
  <c r="A2900" i="3" s="1"/>
  <c r="A2901" i="3" s="1"/>
  <c r="A2902" i="3" s="1"/>
  <c r="A2903" i="3" s="1"/>
  <c r="A2904" i="3" s="1"/>
  <c r="A2905" i="3" s="1"/>
  <c r="A2906" i="3" s="1"/>
  <c r="A2907" i="3" s="1"/>
  <c r="A2908" i="3" s="1"/>
  <c r="A2909" i="3" s="1"/>
  <c r="A2910" i="3" s="1"/>
  <c r="A2911" i="3" s="1"/>
  <c r="A2912" i="3" s="1"/>
  <c r="A2913" i="3" s="1"/>
  <c r="A2914" i="3" s="1"/>
  <c r="A2915" i="3" s="1"/>
  <c r="A2916" i="3" s="1"/>
  <c r="A2917" i="3" s="1"/>
  <c r="A2918" i="3" s="1"/>
  <c r="A2919" i="3" s="1"/>
  <c r="A2920" i="3" s="1"/>
  <c r="A2921" i="3" s="1"/>
  <c r="A2922" i="3" s="1"/>
  <c r="A2923" i="3" s="1"/>
  <c r="A2924" i="3" s="1"/>
  <c r="A2925" i="3" s="1"/>
  <c r="A2926" i="3" s="1"/>
  <c r="A2927" i="3" s="1"/>
  <c r="A2928" i="3" s="1"/>
  <c r="A2929" i="3" s="1"/>
  <c r="A2930" i="3" s="1"/>
  <c r="A2931" i="3" s="1"/>
  <c r="A2932" i="3" s="1"/>
  <c r="A2933" i="3" s="1"/>
  <c r="A2934" i="3" s="1"/>
  <c r="A2935" i="3" s="1"/>
  <c r="A2936" i="3" s="1"/>
  <c r="A2937" i="3" s="1"/>
  <c r="A2938" i="3" s="1"/>
  <c r="A2939" i="3" s="1"/>
  <c r="A2940" i="3" s="1"/>
  <c r="A2941" i="3" s="1"/>
  <c r="A2942" i="3" s="1"/>
  <c r="A2943" i="3" s="1"/>
  <c r="A2944" i="3" s="1"/>
  <c r="A2945" i="3" s="1"/>
  <c r="A2946" i="3" s="1"/>
  <c r="A2947" i="3" s="1"/>
  <c r="A2948" i="3" s="1"/>
  <c r="A2949" i="3" s="1"/>
  <c r="A2950" i="3" s="1"/>
  <c r="A2951" i="3" s="1"/>
  <c r="A2952" i="3" s="1"/>
  <c r="A2953" i="3" s="1"/>
  <c r="A2954" i="3" s="1"/>
  <c r="A2955" i="3" s="1"/>
  <c r="A2956" i="3" s="1"/>
  <c r="A2957" i="3" s="1"/>
  <c r="A2958" i="3" s="1"/>
  <c r="B29" i="1"/>
  <c r="AH3" i="1"/>
  <c r="AA29" i="1"/>
  <c r="Z29" i="1"/>
  <c r="Y29" i="1"/>
  <c r="U29" i="1"/>
  <c r="V29" i="1"/>
  <c r="T29" i="1"/>
  <c r="Q29" i="1"/>
  <c r="P29" i="1"/>
  <c r="O29" i="1"/>
  <c r="J29" i="1"/>
  <c r="L29" i="1"/>
  <c r="K29" i="1"/>
  <c r="G29" i="1"/>
  <c r="F29" i="1"/>
  <c r="E29" i="1"/>
  <c r="AF5" i="1"/>
  <c r="AF4" i="1"/>
  <c r="AF6" i="1"/>
  <c r="AF7" i="1"/>
  <c r="AF3" i="1"/>
  <c r="N16" i="3" l="1"/>
  <c r="N17" i="3" s="1"/>
  <c r="B5" i="3"/>
  <c r="J10" i="3"/>
  <c r="F10" i="3"/>
  <c r="B10" i="3"/>
  <c r="G33" i="1"/>
  <c r="G36" i="1" s="1"/>
  <c r="E33" i="1"/>
  <c r="E35" i="1" s="1"/>
  <c r="F33" i="1"/>
  <c r="F36" i="1" s="1"/>
  <c r="J11" i="3" l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I8" i="3"/>
  <c r="R10" i="3" s="1"/>
  <c r="F11" i="3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E8" i="3"/>
  <c r="Q10" i="3" s="1"/>
  <c r="B11" i="3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0" i="3" s="1"/>
  <c r="B971" i="3" s="1"/>
  <c r="B972" i="3" s="1"/>
  <c r="B973" i="3" s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B1005" i="3" s="1"/>
  <c r="B1006" i="3" s="1"/>
  <c r="B1007" i="3" s="1"/>
  <c r="B1008" i="3" s="1"/>
  <c r="B1009" i="3" s="1"/>
  <c r="B1010" i="3" s="1"/>
  <c r="B1011" i="3" s="1"/>
  <c r="B1012" i="3" s="1"/>
  <c r="B1013" i="3" s="1"/>
  <c r="B1014" i="3" s="1"/>
  <c r="B1015" i="3" s="1"/>
  <c r="B1016" i="3" s="1"/>
  <c r="B1017" i="3" s="1"/>
  <c r="B1018" i="3" s="1"/>
  <c r="B1019" i="3" s="1"/>
  <c r="B1020" i="3" s="1"/>
  <c r="B1021" i="3" s="1"/>
  <c r="B1022" i="3" s="1"/>
  <c r="B1023" i="3" s="1"/>
  <c r="B1024" i="3" s="1"/>
  <c r="B1025" i="3" s="1"/>
  <c r="B1026" i="3" s="1"/>
  <c r="B1027" i="3" s="1"/>
  <c r="B1028" i="3" s="1"/>
  <c r="B1029" i="3" s="1"/>
  <c r="B1030" i="3" s="1"/>
  <c r="B1031" i="3" s="1"/>
  <c r="B1032" i="3" s="1"/>
  <c r="B1033" i="3" s="1"/>
  <c r="B1034" i="3" s="1"/>
  <c r="B1035" i="3" s="1"/>
  <c r="B1036" i="3" s="1"/>
  <c r="B1037" i="3" s="1"/>
  <c r="B1038" i="3" s="1"/>
  <c r="B1039" i="3" s="1"/>
  <c r="B1040" i="3" s="1"/>
  <c r="B1041" i="3" s="1"/>
  <c r="B1042" i="3" s="1"/>
  <c r="B1043" i="3" s="1"/>
  <c r="B1044" i="3" s="1"/>
  <c r="B1045" i="3" s="1"/>
  <c r="B1046" i="3" s="1"/>
  <c r="B1047" i="3" s="1"/>
  <c r="B1048" i="3" s="1"/>
  <c r="B1049" i="3" s="1"/>
  <c r="B1050" i="3" s="1"/>
  <c r="B1051" i="3" s="1"/>
  <c r="B1052" i="3" s="1"/>
  <c r="B1053" i="3" s="1"/>
  <c r="B1054" i="3" s="1"/>
  <c r="B1055" i="3" s="1"/>
  <c r="B1056" i="3" s="1"/>
  <c r="B1057" i="3" s="1"/>
  <c r="B1058" i="3" s="1"/>
  <c r="B1059" i="3" s="1"/>
  <c r="B1060" i="3" s="1"/>
  <c r="B1061" i="3" s="1"/>
  <c r="B1062" i="3" s="1"/>
  <c r="B1063" i="3" s="1"/>
  <c r="B1064" i="3" s="1"/>
  <c r="B1065" i="3" s="1"/>
  <c r="B1066" i="3" s="1"/>
  <c r="B1067" i="3" s="1"/>
  <c r="B1068" i="3" s="1"/>
  <c r="B1069" i="3" s="1"/>
  <c r="B1070" i="3" s="1"/>
  <c r="B1071" i="3" s="1"/>
  <c r="B1072" i="3" s="1"/>
  <c r="B1073" i="3" s="1"/>
  <c r="B1074" i="3" s="1"/>
  <c r="B1075" i="3" s="1"/>
  <c r="B1076" i="3" s="1"/>
  <c r="B1077" i="3" s="1"/>
  <c r="B1078" i="3" s="1"/>
  <c r="B1079" i="3" s="1"/>
  <c r="B1080" i="3" s="1"/>
  <c r="B1081" i="3" s="1"/>
  <c r="B1082" i="3" s="1"/>
  <c r="B1083" i="3" s="1"/>
  <c r="B1084" i="3" s="1"/>
  <c r="B1085" i="3" s="1"/>
  <c r="B1086" i="3" s="1"/>
  <c r="B1087" i="3" s="1"/>
  <c r="B1088" i="3" s="1"/>
  <c r="B1089" i="3" s="1"/>
  <c r="B1090" i="3" s="1"/>
  <c r="B1091" i="3" s="1"/>
  <c r="B1092" i="3" s="1"/>
  <c r="B1093" i="3" s="1"/>
  <c r="B1094" i="3" s="1"/>
  <c r="B1095" i="3" s="1"/>
  <c r="B1096" i="3" s="1"/>
  <c r="B1097" i="3" s="1"/>
  <c r="B1098" i="3" s="1"/>
  <c r="B1099" i="3" s="1"/>
  <c r="B1100" i="3" s="1"/>
  <c r="B1101" i="3" s="1"/>
  <c r="B1102" i="3" s="1"/>
  <c r="B1103" i="3" s="1"/>
  <c r="B1104" i="3" s="1"/>
  <c r="B1105" i="3" s="1"/>
  <c r="B1106" i="3" s="1"/>
  <c r="B1107" i="3" s="1"/>
  <c r="B1108" i="3" s="1"/>
  <c r="B1109" i="3" s="1"/>
  <c r="B1110" i="3" s="1"/>
  <c r="B1111" i="3" s="1"/>
  <c r="B1112" i="3" s="1"/>
  <c r="B1113" i="3" s="1"/>
  <c r="B1114" i="3" s="1"/>
  <c r="B1115" i="3" s="1"/>
  <c r="B1116" i="3" s="1"/>
  <c r="B1117" i="3" s="1"/>
  <c r="B1118" i="3" s="1"/>
  <c r="B1119" i="3" s="1"/>
  <c r="B1120" i="3" s="1"/>
  <c r="B1121" i="3" s="1"/>
  <c r="B1122" i="3" s="1"/>
  <c r="B1123" i="3" s="1"/>
  <c r="B1124" i="3" s="1"/>
  <c r="B1125" i="3" s="1"/>
  <c r="B1126" i="3" s="1"/>
  <c r="B1127" i="3" s="1"/>
  <c r="B1128" i="3" s="1"/>
  <c r="B1129" i="3" s="1"/>
  <c r="B1130" i="3" s="1"/>
  <c r="B1131" i="3" s="1"/>
  <c r="B1132" i="3" s="1"/>
  <c r="B1133" i="3" s="1"/>
  <c r="B1134" i="3" s="1"/>
  <c r="B1135" i="3" s="1"/>
  <c r="B1136" i="3" s="1"/>
  <c r="B1137" i="3" s="1"/>
  <c r="B1138" i="3" s="1"/>
  <c r="B1139" i="3" s="1"/>
  <c r="B1140" i="3" s="1"/>
  <c r="B1141" i="3" s="1"/>
  <c r="B1142" i="3" s="1"/>
  <c r="B1143" i="3" s="1"/>
  <c r="B1144" i="3" s="1"/>
  <c r="B1145" i="3" s="1"/>
  <c r="B1146" i="3" s="1"/>
  <c r="B1147" i="3" s="1"/>
  <c r="B1148" i="3" s="1"/>
  <c r="B1149" i="3" s="1"/>
  <c r="B1150" i="3" s="1"/>
  <c r="B1151" i="3" s="1"/>
  <c r="B1152" i="3" s="1"/>
  <c r="B1153" i="3" s="1"/>
  <c r="B1154" i="3" s="1"/>
  <c r="B1155" i="3" s="1"/>
  <c r="B1156" i="3" s="1"/>
  <c r="B1157" i="3" s="1"/>
  <c r="B1158" i="3" s="1"/>
  <c r="B1159" i="3" s="1"/>
  <c r="B1160" i="3" s="1"/>
  <c r="B1161" i="3" s="1"/>
  <c r="B1162" i="3" s="1"/>
  <c r="B1163" i="3" s="1"/>
  <c r="B1164" i="3" s="1"/>
  <c r="B1165" i="3" s="1"/>
  <c r="B1166" i="3" s="1"/>
  <c r="B1167" i="3" s="1"/>
  <c r="B1168" i="3" s="1"/>
  <c r="B1169" i="3" s="1"/>
  <c r="B1170" i="3" s="1"/>
  <c r="B1171" i="3" s="1"/>
  <c r="B1172" i="3" s="1"/>
  <c r="B1173" i="3" s="1"/>
  <c r="B1174" i="3" s="1"/>
  <c r="B1175" i="3" s="1"/>
  <c r="B1176" i="3" s="1"/>
  <c r="B1177" i="3" s="1"/>
  <c r="B1178" i="3" s="1"/>
  <c r="B1179" i="3" s="1"/>
  <c r="B1180" i="3" s="1"/>
  <c r="B1181" i="3" s="1"/>
  <c r="B1182" i="3" s="1"/>
  <c r="B1183" i="3" s="1"/>
  <c r="B1184" i="3" s="1"/>
  <c r="B1185" i="3" s="1"/>
  <c r="B1186" i="3" s="1"/>
  <c r="B1187" i="3" s="1"/>
  <c r="B1188" i="3" s="1"/>
  <c r="B1189" i="3" s="1"/>
  <c r="B1190" i="3" s="1"/>
  <c r="B1191" i="3" s="1"/>
  <c r="B1192" i="3" s="1"/>
  <c r="B1193" i="3" s="1"/>
  <c r="B1194" i="3" s="1"/>
  <c r="B1195" i="3" s="1"/>
  <c r="B1196" i="3" s="1"/>
  <c r="B1197" i="3" s="1"/>
  <c r="B1198" i="3" s="1"/>
  <c r="B1199" i="3" s="1"/>
  <c r="B1200" i="3" s="1"/>
  <c r="B1201" i="3" s="1"/>
  <c r="B1202" i="3" s="1"/>
  <c r="B1203" i="3" s="1"/>
  <c r="B1204" i="3" s="1"/>
  <c r="B1205" i="3" s="1"/>
  <c r="B1206" i="3" s="1"/>
  <c r="B1207" i="3" s="1"/>
  <c r="B1208" i="3" s="1"/>
  <c r="B1209" i="3" s="1"/>
  <c r="B1210" i="3" s="1"/>
  <c r="B1211" i="3" s="1"/>
  <c r="B1212" i="3" s="1"/>
  <c r="B1213" i="3" s="1"/>
  <c r="B1214" i="3" s="1"/>
  <c r="B1215" i="3" s="1"/>
  <c r="B1216" i="3" s="1"/>
  <c r="B1217" i="3" s="1"/>
  <c r="B1218" i="3" s="1"/>
  <c r="B1219" i="3" s="1"/>
  <c r="B1220" i="3" s="1"/>
  <c r="B1221" i="3" s="1"/>
  <c r="B1222" i="3" s="1"/>
  <c r="B1223" i="3" s="1"/>
  <c r="B1224" i="3" s="1"/>
  <c r="B1225" i="3" s="1"/>
  <c r="B1226" i="3" s="1"/>
  <c r="B1227" i="3" s="1"/>
  <c r="B1228" i="3" s="1"/>
  <c r="B1229" i="3" s="1"/>
  <c r="B1230" i="3" s="1"/>
  <c r="B1231" i="3" s="1"/>
  <c r="B1232" i="3" s="1"/>
  <c r="B1233" i="3" s="1"/>
  <c r="B1234" i="3" s="1"/>
  <c r="B1235" i="3" s="1"/>
  <c r="B1236" i="3" s="1"/>
  <c r="B1237" i="3" s="1"/>
  <c r="B1238" i="3" s="1"/>
  <c r="B1239" i="3" s="1"/>
  <c r="B1240" i="3" s="1"/>
  <c r="B1241" i="3" s="1"/>
  <c r="B1242" i="3" s="1"/>
  <c r="B1243" i="3" s="1"/>
  <c r="B1244" i="3" s="1"/>
  <c r="B1245" i="3" s="1"/>
  <c r="B1246" i="3" s="1"/>
  <c r="B1247" i="3" s="1"/>
  <c r="B1248" i="3" s="1"/>
  <c r="B1249" i="3" s="1"/>
  <c r="B1250" i="3" s="1"/>
  <c r="B1251" i="3" s="1"/>
  <c r="B1252" i="3" s="1"/>
  <c r="B1253" i="3" s="1"/>
  <c r="B1254" i="3" s="1"/>
  <c r="B1255" i="3" s="1"/>
  <c r="B1256" i="3" s="1"/>
  <c r="B1257" i="3" s="1"/>
  <c r="B1258" i="3" s="1"/>
  <c r="B1259" i="3" s="1"/>
  <c r="B1260" i="3" s="1"/>
  <c r="B1261" i="3" s="1"/>
  <c r="B1262" i="3" s="1"/>
  <c r="B1263" i="3" s="1"/>
  <c r="B1264" i="3" s="1"/>
  <c r="B1265" i="3" s="1"/>
  <c r="B1266" i="3" s="1"/>
  <c r="B1267" i="3" s="1"/>
  <c r="B1268" i="3" s="1"/>
  <c r="B1269" i="3" s="1"/>
  <c r="B1270" i="3" s="1"/>
  <c r="B1271" i="3" s="1"/>
  <c r="B1272" i="3" s="1"/>
  <c r="B1273" i="3" s="1"/>
  <c r="B1274" i="3" s="1"/>
  <c r="B1275" i="3" s="1"/>
  <c r="B1276" i="3" s="1"/>
  <c r="B1277" i="3" s="1"/>
  <c r="B1278" i="3" s="1"/>
  <c r="B1279" i="3" s="1"/>
  <c r="B1280" i="3" s="1"/>
  <c r="B1281" i="3" s="1"/>
  <c r="B1282" i="3" s="1"/>
  <c r="B1283" i="3" s="1"/>
  <c r="B1284" i="3" s="1"/>
  <c r="B1285" i="3" s="1"/>
  <c r="B1286" i="3" s="1"/>
  <c r="B1287" i="3" s="1"/>
  <c r="B1288" i="3" s="1"/>
  <c r="B1289" i="3" s="1"/>
  <c r="B1290" i="3" s="1"/>
  <c r="B1291" i="3" s="1"/>
  <c r="B1292" i="3" s="1"/>
  <c r="B1293" i="3" s="1"/>
  <c r="B1294" i="3" s="1"/>
  <c r="B1295" i="3" s="1"/>
  <c r="B1296" i="3" s="1"/>
  <c r="B1297" i="3" s="1"/>
  <c r="B1298" i="3" s="1"/>
  <c r="B1299" i="3" s="1"/>
  <c r="B1300" i="3" s="1"/>
  <c r="B1301" i="3" s="1"/>
  <c r="B1302" i="3" s="1"/>
  <c r="B1303" i="3" s="1"/>
  <c r="B1304" i="3" s="1"/>
  <c r="B1305" i="3" s="1"/>
  <c r="B1306" i="3" s="1"/>
  <c r="B1307" i="3" s="1"/>
  <c r="B1308" i="3" s="1"/>
  <c r="B1309" i="3" s="1"/>
  <c r="B1310" i="3" s="1"/>
  <c r="B1311" i="3" s="1"/>
  <c r="B1312" i="3" s="1"/>
  <c r="B1313" i="3" s="1"/>
  <c r="B1314" i="3" s="1"/>
  <c r="B1315" i="3" s="1"/>
  <c r="B1316" i="3" s="1"/>
  <c r="B1317" i="3" s="1"/>
  <c r="B1318" i="3" s="1"/>
  <c r="B1319" i="3" s="1"/>
  <c r="B1320" i="3" s="1"/>
  <c r="B1321" i="3" s="1"/>
  <c r="B1322" i="3" s="1"/>
  <c r="B1323" i="3" s="1"/>
  <c r="B1324" i="3" s="1"/>
  <c r="B1325" i="3" s="1"/>
  <c r="B1326" i="3" s="1"/>
  <c r="B1327" i="3" s="1"/>
  <c r="B1328" i="3" s="1"/>
  <c r="B1329" i="3" s="1"/>
  <c r="B1330" i="3" s="1"/>
  <c r="B1331" i="3" s="1"/>
  <c r="B1332" i="3" s="1"/>
  <c r="B1333" i="3" s="1"/>
  <c r="B1334" i="3" s="1"/>
  <c r="B1335" i="3" s="1"/>
  <c r="B1336" i="3" s="1"/>
  <c r="B1337" i="3" s="1"/>
  <c r="B1338" i="3" s="1"/>
  <c r="B1339" i="3" s="1"/>
  <c r="B1340" i="3" s="1"/>
  <c r="B1341" i="3" s="1"/>
  <c r="B1342" i="3" s="1"/>
  <c r="B1343" i="3" s="1"/>
  <c r="B1344" i="3" s="1"/>
  <c r="B1345" i="3" s="1"/>
  <c r="B1346" i="3" s="1"/>
  <c r="B1347" i="3" s="1"/>
  <c r="B1348" i="3" s="1"/>
  <c r="B1349" i="3" s="1"/>
  <c r="B1350" i="3" s="1"/>
  <c r="B1351" i="3" s="1"/>
  <c r="B1352" i="3" s="1"/>
  <c r="B1353" i="3" s="1"/>
  <c r="B1354" i="3" s="1"/>
  <c r="B1355" i="3" s="1"/>
  <c r="B1356" i="3" s="1"/>
  <c r="B1357" i="3" s="1"/>
  <c r="B1358" i="3" s="1"/>
  <c r="B1359" i="3" s="1"/>
  <c r="B1360" i="3" s="1"/>
  <c r="B1361" i="3" s="1"/>
  <c r="B1362" i="3" s="1"/>
  <c r="B1363" i="3" s="1"/>
  <c r="B1364" i="3" s="1"/>
  <c r="B1365" i="3" s="1"/>
  <c r="B1366" i="3" s="1"/>
  <c r="B1367" i="3" s="1"/>
  <c r="B1368" i="3" s="1"/>
  <c r="B1369" i="3" s="1"/>
  <c r="B1370" i="3" s="1"/>
  <c r="B1371" i="3" s="1"/>
  <c r="B1372" i="3" s="1"/>
  <c r="B1373" i="3" s="1"/>
  <c r="B1374" i="3" s="1"/>
  <c r="B1375" i="3" s="1"/>
  <c r="B1376" i="3" s="1"/>
  <c r="B1377" i="3" s="1"/>
  <c r="B1378" i="3" s="1"/>
  <c r="B1379" i="3" s="1"/>
  <c r="B1380" i="3" s="1"/>
  <c r="B1381" i="3" s="1"/>
  <c r="B1382" i="3" s="1"/>
  <c r="B1383" i="3" s="1"/>
  <c r="B1384" i="3" s="1"/>
  <c r="B1385" i="3" s="1"/>
  <c r="B1386" i="3" s="1"/>
  <c r="B1387" i="3" s="1"/>
  <c r="B1388" i="3" s="1"/>
  <c r="B1389" i="3" s="1"/>
  <c r="B1390" i="3" s="1"/>
  <c r="B1391" i="3" s="1"/>
  <c r="B1392" i="3" s="1"/>
  <c r="B1393" i="3" s="1"/>
  <c r="B1394" i="3" s="1"/>
  <c r="B1395" i="3" s="1"/>
  <c r="B1396" i="3" s="1"/>
  <c r="B1397" i="3" s="1"/>
  <c r="B1398" i="3" s="1"/>
  <c r="B1399" i="3" s="1"/>
  <c r="B1400" i="3" s="1"/>
  <c r="B1401" i="3" s="1"/>
  <c r="B1402" i="3" s="1"/>
  <c r="B1403" i="3" s="1"/>
  <c r="B1404" i="3" s="1"/>
  <c r="B1405" i="3" s="1"/>
  <c r="B1406" i="3" s="1"/>
  <c r="B1407" i="3" s="1"/>
  <c r="B1408" i="3" s="1"/>
  <c r="B1409" i="3" s="1"/>
  <c r="B1410" i="3" s="1"/>
  <c r="B1411" i="3" s="1"/>
  <c r="B1412" i="3" s="1"/>
  <c r="B1413" i="3" s="1"/>
  <c r="B1414" i="3" s="1"/>
  <c r="B1415" i="3" s="1"/>
  <c r="B1416" i="3" s="1"/>
  <c r="B1417" i="3" s="1"/>
  <c r="B1418" i="3" s="1"/>
  <c r="B1419" i="3" s="1"/>
  <c r="B1420" i="3" s="1"/>
  <c r="B1421" i="3" s="1"/>
  <c r="B1422" i="3" s="1"/>
  <c r="B1423" i="3" s="1"/>
  <c r="B1424" i="3" s="1"/>
  <c r="B1425" i="3" s="1"/>
  <c r="B1426" i="3" s="1"/>
  <c r="B1427" i="3" s="1"/>
  <c r="B1428" i="3" s="1"/>
  <c r="B1429" i="3" s="1"/>
  <c r="B1430" i="3" s="1"/>
  <c r="B1431" i="3" s="1"/>
  <c r="B1432" i="3" s="1"/>
  <c r="B1433" i="3" s="1"/>
  <c r="B1434" i="3" s="1"/>
  <c r="B1435" i="3" s="1"/>
  <c r="B1436" i="3" s="1"/>
  <c r="B1437" i="3" s="1"/>
  <c r="B1438" i="3" s="1"/>
  <c r="B1439" i="3" s="1"/>
  <c r="B1440" i="3" s="1"/>
  <c r="B1441" i="3" s="1"/>
  <c r="B1442" i="3" s="1"/>
  <c r="B1443" i="3" s="1"/>
  <c r="B1444" i="3" s="1"/>
  <c r="B1445" i="3" s="1"/>
  <c r="B1446" i="3" s="1"/>
  <c r="B1447" i="3" s="1"/>
  <c r="B1448" i="3" s="1"/>
  <c r="B1449" i="3" s="1"/>
  <c r="B1450" i="3" s="1"/>
  <c r="B1451" i="3" s="1"/>
  <c r="B1452" i="3" s="1"/>
  <c r="B1453" i="3" s="1"/>
  <c r="B1454" i="3" s="1"/>
  <c r="B1455" i="3" s="1"/>
  <c r="B1456" i="3" s="1"/>
  <c r="B1457" i="3" s="1"/>
  <c r="B1458" i="3" s="1"/>
  <c r="B1459" i="3" s="1"/>
  <c r="B1460" i="3" s="1"/>
  <c r="B1461" i="3" s="1"/>
  <c r="B1462" i="3" s="1"/>
  <c r="B1463" i="3" s="1"/>
  <c r="B1464" i="3" s="1"/>
  <c r="B1465" i="3" s="1"/>
  <c r="B1466" i="3" s="1"/>
  <c r="B1467" i="3" s="1"/>
  <c r="B1468" i="3" s="1"/>
  <c r="B1469" i="3" s="1"/>
  <c r="B1470" i="3" s="1"/>
  <c r="B1471" i="3" s="1"/>
  <c r="B1472" i="3" s="1"/>
  <c r="B1473" i="3" s="1"/>
  <c r="B1474" i="3" s="1"/>
  <c r="B1475" i="3" s="1"/>
  <c r="B1476" i="3" s="1"/>
  <c r="B1477" i="3" s="1"/>
  <c r="B1478" i="3" s="1"/>
  <c r="B1479" i="3" s="1"/>
  <c r="B1480" i="3" s="1"/>
  <c r="B1481" i="3" s="1"/>
  <c r="B1482" i="3" s="1"/>
  <c r="B1483" i="3" s="1"/>
  <c r="B1484" i="3" s="1"/>
  <c r="B1485" i="3" s="1"/>
  <c r="B1486" i="3" s="1"/>
  <c r="B1487" i="3" s="1"/>
  <c r="B1488" i="3" s="1"/>
  <c r="B1489" i="3" s="1"/>
  <c r="B1490" i="3" s="1"/>
  <c r="B1491" i="3" s="1"/>
  <c r="B1492" i="3" s="1"/>
  <c r="B1493" i="3" s="1"/>
  <c r="B1494" i="3" s="1"/>
  <c r="B1495" i="3" s="1"/>
  <c r="B1496" i="3" s="1"/>
  <c r="B1497" i="3" s="1"/>
  <c r="B1498" i="3" s="1"/>
  <c r="B1499" i="3" s="1"/>
  <c r="B1500" i="3" s="1"/>
  <c r="B1501" i="3" s="1"/>
  <c r="B1502" i="3" s="1"/>
  <c r="B1503" i="3" s="1"/>
  <c r="B1504" i="3" s="1"/>
  <c r="B1505" i="3" s="1"/>
  <c r="B1506" i="3" s="1"/>
  <c r="B1507" i="3" s="1"/>
  <c r="B1508" i="3" s="1"/>
  <c r="B1509" i="3" s="1"/>
  <c r="B1510" i="3" s="1"/>
  <c r="B1511" i="3" s="1"/>
  <c r="B1512" i="3" s="1"/>
  <c r="B1513" i="3" s="1"/>
  <c r="B1514" i="3" s="1"/>
  <c r="B1515" i="3" s="1"/>
  <c r="B1516" i="3" s="1"/>
  <c r="B1517" i="3" s="1"/>
  <c r="B1518" i="3" s="1"/>
  <c r="B1519" i="3" s="1"/>
  <c r="B1520" i="3" s="1"/>
  <c r="B1521" i="3" s="1"/>
  <c r="B1522" i="3" s="1"/>
  <c r="B1523" i="3" s="1"/>
  <c r="B1524" i="3" s="1"/>
  <c r="B1525" i="3" s="1"/>
  <c r="B1526" i="3" s="1"/>
  <c r="B1527" i="3" s="1"/>
  <c r="B1528" i="3" s="1"/>
  <c r="B1529" i="3" s="1"/>
  <c r="B1530" i="3" s="1"/>
  <c r="B1531" i="3" s="1"/>
  <c r="B1532" i="3" s="1"/>
  <c r="B1533" i="3" s="1"/>
  <c r="B1534" i="3" s="1"/>
  <c r="B1535" i="3" s="1"/>
  <c r="B1536" i="3" s="1"/>
  <c r="B1537" i="3" s="1"/>
  <c r="B1538" i="3" s="1"/>
  <c r="B1539" i="3" s="1"/>
  <c r="B1540" i="3" s="1"/>
  <c r="B1541" i="3" s="1"/>
  <c r="B1542" i="3" s="1"/>
  <c r="B1543" i="3" s="1"/>
  <c r="B1544" i="3" s="1"/>
  <c r="B1545" i="3" s="1"/>
  <c r="B1546" i="3" s="1"/>
  <c r="B1547" i="3" s="1"/>
  <c r="B1548" i="3" s="1"/>
  <c r="B1549" i="3" s="1"/>
  <c r="B1550" i="3" s="1"/>
  <c r="B1551" i="3" s="1"/>
  <c r="B1552" i="3" s="1"/>
  <c r="B1553" i="3" s="1"/>
  <c r="B1554" i="3" s="1"/>
  <c r="B1555" i="3" s="1"/>
  <c r="B1556" i="3" s="1"/>
  <c r="B1557" i="3" s="1"/>
  <c r="B1558" i="3" s="1"/>
  <c r="B1559" i="3" s="1"/>
  <c r="B1560" i="3" s="1"/>
  <c r="B1561" i="3" s="1"/>
  <c r="B1562" i="3" s="1"/>
  <c r="B1563" i="3" s="1"/>
  <c r="B1564" i="3" s="1"/>
  <c r="B1565" i="3" s="1"/>
  <c r="B1566" i="3" s="1"/>
  <c r="B1567" i="3" s="1"/>
  <c r="B1568" i="3" s="1"/>
  <c r="B1569" i="3" s="1"/>
  <c r="B1570" i="3" s="1"/>
  <c r="B1571" i="3" s="1"/>
  <c r="B1572" i="3" s="1"/>
  <c r="B1573" i="3" s="1"/>
  <c r="B1574" i="3" s="1"/>
  <c r="B1575" i="3" s="1"/>
  <c r="B1576" i="3" s="1"/>
  <c r="B1577" i="3" s="1"/>
  <c r="B1578" i="3" s="1"/>
  <c r="B1579" i="3" s="1"/>
  <c r="B1580" i="3" s="1"/>
  <c r="B1581" i="3" s="1"/>
  <c r="B1582" i="3" s="1"/>
  <c r="B1583" i="3" s="1"/>
  <c r="B1584" i="3" s="1"/>
  <c r="B1585" i="3" s="1"/>
  <c r="B1586" i="3" s="1"/>
  <c r="B1587" i="3" s="1"/>
  <c r="B1588" i="3" s="1"/>
  <c r="B1589" i="3" s="1"/>
  <c r="B1590" i="3" s="1"/>
  <c r="B1591" i="3" s="1"/>
  <c r="B1592" i="3" s="1"/>
  <c r="B1593" i="3" s="1"/>
  <c r="B1594" i="3" s="1"/>
  <c r="B1595" i="3" s="1"/>
  <c r="B1596" i="3" s="1"/>
  <c r="B1597" i="3" s="1"/>
  <c r="B1598" i="3" s="1"/>
  <c r="B1599" i="3" s="1"/>
  <c r="B1600" i="3" s="1"/>
  <c r="B1601" i="3" s="1"/>
  <c r="B1602" i="3" s="1"/>
  <c r="B1603" i="3" s="1"/>
  <c r="B1604" i="3" s="1"/>
  <c r="B1605" i="3" s="1"/>
  <c r="B1606" i="3" s="1"/>
  <c r="B1607" i="3" s="1"/>
  <c r="B1608" i="3" s="1"/>
  <c r="B1609" i="3" s="1"/>
  <c r="B1610" i="3" s="1"/>
  <c r="B1611" i="3" s="1"/>
  <c r="B1612" i="3" s="1"/>
  <c r="B1613" i="3" s="1"/>
  <c r="B1614" i="3" s="1"/>
  <c r="B1615" i="3" s="1"/>
  <c r="B1616" i="3" s="1"/>
  <c r="B1617" i="3" s="1"/>
  <c r="B1618" i="3" s="1"/>
  <c r="B1619" i="3" s="1"/>
  <c r="B1620" i="3" s="1"/>
  <c r="B1621" i="3" s="1"/>
  <c r="B1622" i="3" s="1"/>
  <c r="B1623" i="3" s="1"/>
  <c r="B1624" i="3" s="1"/>
  <c r="B1625" i="3" s="1"/>
  <c r="B1626" i="3" s="1"/>
  <c r="B1627" i="3" s="1"/>
  <c r="B1628" i="3" s="1"/>
  <c r="B1629" i="3" s="1"/>
  <c r="B1630" i="3" s="1"/>
  <c r="B1631" i="3" s="1"/>
  <c r="B1632" i="3" s="1"/>
  <c r="B1633" i="3" s="1"/>
  <c r="B1634" i="3" s="1"/>
  <c r="B1635" i="3" s="1"/>
  <c r="B1636" i="3" s="1"/>
  <c r="B1637" i="3" s="1"/>
  <c r="B1638" i="3" s="1"/>
  <c r="B1639" i="3" s="1"/>
  <c r="B1640" i="3" s="1"/>
  <c r="B1641" i="3" s="1"/>
  <c r="B1642" i="3" s="1"/>
  <c r="B1643" i="3" s="1"/>
  <c r="B1644" i="3" s="1"/>
  <c r="B1645" i="3" s="1"/>
  <c r="B1646" i="3" s="1"/>
  <c r="B1647" i="3" s="1"/>
  <c r="B1648" i="3" s="1"/>
  <c r="B1649" i="3" s="1"/>
  <c r="B1650" i="3" s="1"/>
  <c r="B1651" i="3" s="1"/>
  <c r="B1652" i="3" s="1"/>
  <c r="B1653" i="3" s="1"/>
  <c r="B1654" i="3" s="1"/>
  <c r="B1655" i="3" s="1"/>
  <c r="B1656" i="3" s="1"/>
  <c r="B1657" i="3" s="1"/>
  <c r="B1658" i="3" s="1"/>
  <c r="B1659" i="3" s="1"/>
  <c r="B1660" i="3" s="1"/>
  <c r="B1661" i="3" s="1"/>
  <c r="B1662" i="3" s="1"/>
  <c r="B1663" i="3" s="1"/>
  <c r="B1664" i="3" s="1"/>
  <c r="B1665" i="3" s="1"/>
  <c r="B1666" i="3" s="1"/>
  <c r="B1667" i="3" s="1"/>
  <c r="B1668" i="3" s="1"/>
  <c r="B1669" i="3" s="1"/>
  <c r="B1670" i="3" s="1"/>
  <c r="B1671" i="3" s="1"/>
  <c r="B1672" i="3" s="1"/>
  <c r="B1673" i="3" s="1"/>
  <c r="B1674" i="3" s="1"/>
  <c r="B1675" i="3" s="1"/>
  <c r="B1676" i="3" s="1"/>
  <c r="B1677" i="3" s="1"/>
  <c r="B1678" i="3" s="1"/>
  <c r="B1679" i="3" s="1"/>
  <c r="B1680" i="3" s="1"/>
  <c r="B1681" i="3" s="1"/>
  <c r="B1682" i="3" s="1"/>
  <c r="B1683" i="3" s="1"/>
  <c r="B1684" i="3" s="1"/>
  <c r="B1685" i="3" s="1"/>
  <c r="B1686" i="3" s="1"/>
  <c r="B1687" i="3" s="1"/>
  <c r="B1688" i="3" s="1"/>
  <c r="B1689" i="3" s="1"/>
  <c r="B1690" i="3" s="1"/>
  <c r="B1691" i="3" s="1"/>
  <c r="B1692" i="3" s="1"/>
  <c r="B1693" i="3" s="1"/>
  <c r="B1694" i="3" s="1"/>
  <c r="B1695" i="3" s="1"/>
  <c r="B1696" i="3" s="1"/>
  <c r="B1697" i="3" s="1"/>
  <c r="B1698" i="3" s="1"/>
  <c r="B1699" i="3" s="1"/>
  <c r="B1700" i="3" s="1"/>
  <c r="B1701" i="3" s="1"/>
  <c r="B1702" i="3" s="1"/>
  <c r="B1703" i="3" s="1"/>
  <c r="B1704" i="3" s="1"/>
  <c r="B1705" i="3" s="1"/>
  <c r="B1706" i="3" s="1"/>
  <c r="B1707" i="3" s="1"/>
  <c r="B1708" i="3" s="1"/>
  <c r="B1709" i="3" s="1"/>
  <c r="B1710" i="3" s="1"/>
  <c r="B1711" i="3" s="1"/>
  <c r="B1712" i="3" s="1"/>
  <c r="B1713" i="3" s="1"/>
  <c r="B1714" i="3" s="1"/>
  <c r="B1715" i="3" s="1"/>
  <c r="B1716" i="3" s="1"/>
  <c r="B1717" i="3" s="1"/>
  <c r="B1718" i="3" s="1"/>
  <c r="B1719" i="3" s="1"/>
  <c r="B1720" i="3" s="1"/>
  <c r="B1721" i="3" s="1"/>
  <c r="B1722" i="3" s="1"/>
  <c r="B1723" i="3" s="1"/>
  <c r="B1724" i="3" s="1"/>
  <c r="B1725" i="3" s="1"/>
  <c r="B1726" i="3" s="1"/>
  <c r="B1727" i="3" s="1"/>
  <c r="B1728" i="3" s="1"/>
  <c r="B1729" i="3" s="1"/>
  <c r="B1730" i="3" s="1"/>
  <c r="B1731" i="3" s="1"/>
  <c r="B1732" i="3" s="1"/>
  <c r="B1733" i="3" s="1"/>
  <c r="B1734" i="3" s="1"/>
  <c r="B1735" i="3" s="1"/>
  <c r="B1736" i="3" s="1"/>
  <c r="B1737" i="3" s="1"/>
  <c r="B1738" i="3" s="1"/>
  <c r="B1739" i="3" s="1"/>
  <c r="B1740" i="3" s="1"/>
  <c r="B1741" i="3" s="1"/>
  <c r="B1742" i="3" s="1"/>
  <c r="B1743" i="3" s="1"/>
  <c r="B1744" i="3" s="1"/>
  <c r="B1745" i="3" s="1"/>
  <c r="B1746" i="3" s="1"/>
  <c r="B1747" i="3" s="1"/>
  <c r="B1748" i="3" s="1"/>
  <c r="B1749" i="3" s="1"/>
  <c r="B1750" i="3" s="1"/>
  <c r="B1751" i="3" s="1"/>
  <c r="B1752" i="3" s="1"/>
  <c r="B1753" i="3" s="1"/>
  <c r="B1754" i="3" s="1"/>
  <c r="B1755" i="3" s="1"/>
  <c r="B1756" i="3" s="1"/>
  <c r="B1757" i="3" s="1"/>
  <c r="B1758" i="3" s="1"/>
  <c r="B1759" i="3" s="1"/>
  <c r="B1760" i="3" s="1"/>
  <c r="B1761" i="3" s="1"/>
  <c r="B1762" i="3" s="1"/>
  <c r="B1763" i="3" s="1"/>
  <c r="B1764" i="3" s="1"/>
  <c r="B1765" i="3" s="1"/>
  <c r="B1766" i="3" s="1"/>
  <c r="B1767" i="3" s="1"/>
  <c r="B1768" i="3" s="1"/>
  <c r="B1769" i="3" s="1"/>
  <c r="B1770" i="3" s="1"/>
  <c r="B1771" i="3" s="1"/>
  <c r="B1772" i="3" s="1"/>
  <c r="B1773" i="3" s="1"/>
  <c r="B1774" i="3" s="1"/>
  <c r="B1775" i="3" s="1"/>
  <c r="B1776" i="3" s="1"/>
  <c r="B1777" i="3" s="1"/>
  <c r="B1778" i="3" s="1"/>
  <c r="B1779" i="3" s="1"/>
  <c r="B1780" i="3" s="1"/>
  <c r="B1781" i="3" s="1"/>
  <c r="B1782" i="3" s="1"/>
  <c r="B1783" i="3" s="1"/>
  <c r="B1784" i="3" s="1"/>
  <c r="B1785" i="3" s="1"/>
  <c r="B1786" i="3" s="1"/>
  <c r="B1787" i="3" s="1"/>
  <c r="B1788" i="3" s="1"/>
  <c r="B1789" i="3" s="1"/>
  <c r="B1790" i="3" s="1"/>
  <c r="B1791" i="3" s="1"/>
  <c r="B1792" i="3" s="1"/>
  <c r="B1793" i="3" s="1"/>
  <c r="B1794" i="3" s="1"/>
  <c r="B1795" i="3" s="1"/>
  <c r="B1796" i="3" s="1"/>
  <c r="B1797" i="3" s="1"/>
  <c r="B1798" i="3" s="1"/>
  <c r="B1799" i="3" s="1"/>
  <c r="B1800" i="3" s="1"/>
  <c r="B1801" i="3" s="1"/>
  <c r="B1802" i="3" s="1"/>
  <c r="B1803" i="3" s="1"/>
  <c r="B1804" i="3" s="1"/>
  <c r="B1805" i="3" s="1"/>
  <c r="B1806" i="3" s="1"/>
  <c r="B1807" i="3" s="1"/>
  <c r="B1808" i="3" s="1"/>
  <c r="B1809" i="3" s="1"/>
  <c r="B1810" i="3" s="1"/>
  <c r="B1811" i="3" s="1"/>
  <c r="B1812" i="3" s="1"/>
  <c r="B1813" i="3" s="1"/>
  <c r="B1814" i="3" s="1"/>
  <c r="B1815" i="3" s="1"/>
  <c r="B1816" i="3" s="1"/>
  <c r="B1817" i="3" s="1"/>
  <c r="B1818" i="3" s="1"/>
  <c r="B1819" i="3" s="1"/>
  <c r="B1820" i="3" s="1"/>
  <c r="B1821" i="3" s="1"/>
  <c r="B1822" i="3" s="1"/>
  <c r="B1823" i="3" s="1"/>
  <c r="B1824" i="3" s="1"/>
  <c r="B1825" i="3" s="1"/>
  <c r="B1826" i="3" s="1"/>
  <c r="B1827" i="3" s="1"/>
  <c r="B1828" i="3" s="1"/>
  <c r="B1829" i="3" s="1"/>
  <c r="B1830" i="3" s="1"/>
  <c r="B1831" i="3" s="1"/>
  <c r="B1832" i="3" s="1"/>
  <c r="B1833" i="3" s="1"/>
  <c r="B1834" i="3" s="1"/>
  <c r="B1835" i="3" s="1"/>
  <c r="B1836" i="3" s="1"/>
  <c r="B1837" i="3" s="1"/>
  <c r="B1838" i="3" s="1"/>
  <c r="B1839" i="3" s="1"/>
  <c r="B1840" i="3" s="1"/>
  <c r="B1841" i="3" s="1"/>
  <c r="B1842" i="3" s="1"/>
  <c r="B1843" i="3" s="1"/>
  <c r="B1844" i="3" s="1"/>
  <c r="B1845" i="3" s="1"/>
  <c r="B1846" i="3" s="1"/>
  <c r="B1847" i="3" s="1"/>
  <c r="B1848" i="3" s="1"/>
  <c r="B1849" i="3" s="1"/>
  <c r="B1850" i="3" s="1"/>
  <c r="B1851" i="3" s="1"/>
  <c r="B1852" i="3" s="1"/>
  <c r="B1853" i="3" s="1"/>
  <c r="B1854" i="3" s="1"/>
  <c r="B1855" i="3" s="1"/>
  <c r="B1856" i="3" s="1"/>
  <c r="B1857" i="3" s="1"/>
  <c r="B1858" i="3" s="1"/>
  <c r="B1859" i="3" s="1"/>
  <c r="B1860" i="3" s="1"/>
  <c r="B1861" i="3" s="1"/>
  <c r="B1862" i="3" s="1"/>
  <c r="B1863" i="3" s="1"/>
  <c r="B1864" i="3" s="1"/>
  <c r="B1865" i="3" s="1"/>
  <c r="B1866" i="3" s="1"/>
  <c r="B1867" i="3" s="1"/>
  <c r="B1868" i="3" s="1"/>
  <c r="B1869" i="3" s="1"/>
  <c r="B1870" i="3" s="1"/>
  <c r="B1871" i="3" s="1"/>
  <c r="B1872" i="3" s="1"/>
  <c r="B1873" i="3" s="1"/>
  <c r="B1874" i="3" s="1"/>
  <c r="B1875" i="3" s="1"/>
  <c r="B1876" i="3" s="1"/>
  <c r="B1877" i="3" s="1"/>
  <c r="B1878" i="3" s="1"/>
  <c r="B1879" i="3" s="1"/>
  <c r="B1880" i="3" s="1"/>
  <c r="B1881" i="3" s="1"/>
  <c r="B1882" i="3" s="1"/>
  <c r="B1883" i="3" s="1"/>
  <c r="B1884" i="3" s="1"/>
  <c r="B1885" i="3" s="1"/>
  <c r="B1886" i="3" s="1"/>
  <c r="B1887" i="3" s="1"/>
  <c r="B1888" i="3" s="1"/>
  <c r="B1889" i="3" s="1"/>
  <c r="B1890" i="3" s="1"/>
  <c r="B1891" i="3" s="1"/>
  <c r="B1892" i="3" s="1"/>
  <c r="B1893" i="3" s="1"/>
  <c r="B1894" i="3" s="1"/>
  <c r="B1895" i="3" s="1"/>
  <c r="B1896" i="3" s="1"/>
  <c r="B1897" i="3" s="1"/>
  <c r="B1898" i="3" s="1"/>
  <c r="B1899" i="3" s="1"/>
  <c r="B1900" i="3" s="1"/>
  <c r="B1901" i="3" s="1"/>
  <c r="B1902" i="3" s="1"/>
  <c r="B1903" i="3" s="1"/>
  <c r="B1904" i="3" s="1"/>
  <c r="B1905" i="3" s="1"/>
  <c r="B1906" i="3" s="1"/>
  <c r="B1907" i="3" s="1"/>
  <c r="B1908" i="3" s="1"/>
  <c r="B1909" i="3" s="1"/>
  <c r="B1910" i="3" s="1"/>
  <c r="B1911" i="3" s="1"/>
  <c r="B1912" i="3" s="1"/>
  <c r="B1913" i="3" s="1"/>
  <c r="B1914" i="3" s="1"/>
  <c r="B1915" i="3" s="1"/>
  <c r="B1916" i="3" s="1"/>
  <c r="B1917" i="3" s="1"/>
  <c r="B1918" i="3" s="1"/>
  <c r="B1919" i="3" s="1"/>
  <c r="B1920" i="3" s="1"/>
  <c r="B1921" i="3" s="1"/>
  <c r="B1922" i="3" s="1"/>
  <c r="B1923" i="3" s="1"/>
  <c r="B1924" i="3" s="1"/>
  <c r="B1925" i="3" s="1"/>
  <c r="B1926" i="3" s="1"/>
  <c r="B1927" i="3" s="1"/>
  <c r="B1928" i="3" s="1"/>
  <c r="B1929" i="3" s="1"/>
  <c r="B1930" i="3" s="1"/>
  <c r="B1931" i="3" s="1"/>
  <c r="B1932" i="3" s="1"/>
  <c r="B1933" i="3" s="1"/>
  <c r="B1934" i="3" s="1"/>
  <c r="B1935" i="3" s="1"/>
  <c r="B1936" i="3" s="1"/>
  <c r="B1937" i="3" s="1"/>
  <c r="B1938" i="3" s="1"/>
  <c r="B1939" i="3" s="1"/>
  <c r="B1940" i="3" s="1"/>
  <c r="B1941" i="3" s="1"/>
  <c r="B1942" i="3" s="1"/>
  <c r="B1943" i="3" s="1"/>
  <c r="B1944" i="3" s="1"/>
  <c r="B1945" i="3" s="1"/>
  <c r="B1946" i="3" s="1"/>
  <c r="B1947" i="3" s="1"/>
  <c r="B1948" i="3" s="1"/>
  <c r="B1949" i="3" s="1"/>
  <c r="B1950" i="3" s="1"/>
  <c r="B1951" i="3" s="1"/>
  <c r="B1952" i="3" s="1"/>
  <c r="B1953" i="3" s="1"/>
  <c r="B1954" i="3" s="1"/>
  <c r="B1955" i="3" s="1"/>
  <c r="B1956" i="3" s="1"/>
  <c r="B1957" i="3" s="1"/>
  <c r="B1958" i="3" s="1"/>
  <c r="B1959" i="3" s="1"/>
  <c r="B1960" i="3" s="1"/>
  <c r="B1961" i="3" s="1"/>
  <c r="B1962" i="3" s="1"/>
  <c r="B1963" i="3" s="1"/>
  <c r="B1964" i="3" s="1"/>
  <c r="B1965" i="3" s="1"/>
  <c r="B1966" i="3" s="1"/>
  <c r="B1967" i="3" s="1"/>
  <c r="B1968" i="3" s="1"/>
  <c r="B1969" i="3" s="1"/>
  <c r="B1970" i="3" s="1"/>
  <c r="B1971" i="3" s="1"/>
  <c r="B1972" i="3" s="1"/>
  <c r="B1973" i="3" s="1"/>
  <c r="B1974" i="3" s="1"/>
  <c r="B1975" i="3" s="1"/>
  <c r="B1976" i="3" s="1"/>
  <c r="B1977" i="3" s="1"/>
  <c r="B1978" i="3" s="1"/>
  <c r="B1979" i="3" s="1"/>
  <c r="B1980" i="3" s="1"/>
  <c r="B1981" i="3" s="1"/>
  <c r="B1982" i="3" s="1"/>
  <c r="B1983" i="3" s="1"/>
  <c r="B1984" i="3" s="1"/>
  <c r="B1985" i="3" s="1"/>
  <c r="B1986" i="3" s="1"/>
  <c r="B1987" i="3" s="1"/>
  <c r="B1988" i="3" s="1"/>
  <c r="B1989" i="3" s="1"/>
  <c r="B1990" i="3" s="1"/>
  <c r="B1991" i="3" s="1"/>
  <c r="B1992" i="3" s="1"/>
  <c r="B1993" i="3" s="1"/>
  <c r="B1994" i="3" s="1"/>
  <c r="B1995" i="3" s="1"/>
  <c r="B1996" i="3" s="1"/>
  <c r="B1997" i="3" s="1"/>
  <c r="B1998" i="3" s="1"/>
  <c r="B1999" i="3" s="1"/>
  <c r="B2000" i="3" s="1"/>
  <c r="B2001" i="3" s="1"/>
  <c r="B2002" i="3" s="1"/>
  <c r="B2003" i="3" s="1"/>
  <c r="B2004" i="3" s="1"/>
  <c r="B2005" i="3" s="1"/>
  <c r="B2006" i="3" s="1"/>
  <c r="B2007" i="3" s="1"/>
  <c r="B2008" i="3" s="1"/>
  <c r="B2009" i="3" s="1"/>
  <c r="B2010" i="3" s="1"/>
  <c r="B2011" i="3" s="1"/>
  <c r="B2012" i="3" s="1"/>
  <c r="B2013" i="3" s="1"/>
  <c r="B2014" i="3" s="1"/>
  <c r="B2015" i="3" s="1"/>
  <c r="B2016" i="3" s="1"/>
  <c r="B2017" i="3" s="1"/>
  <c r="B2018" i="3" s="1"/>
  <c r="B2019" i="3" s="1"/>
  <c r="B2020" i="3" s="1"/>
  <c r="B2021" i="3" s="1"/>
  <c r="B2022" i="3" s="1"/>
  <c r="B2023" i="3" s="1"/>
  <c r="B2024" i="3" s="1"/>
  <c r="B2025" i="3" s="1"/>
  <c r="B2026" i="3" s="1"/>
  <c r="B2027" i="3" s="1"/>
  <c r="B2028" i="3" s="1"/>
  <c r="B2029" i="3" s="1"/>
  <c r="B2030" i="3" s="1"/>
  <c r="B2031" i="3" s="1"/>
  <c r="B2032" i="3" s="1"/>
  <c r="B2033" i="3" s="1"/>
  <c r="B2034" i="3" s="1"/>
  <c r="B2035" i="3" s="1"/>
  <c r="B2036" i="3" s="1"/>
  <c r="B2037" i="3" s="1"/>
  <c r="B2038" i="3" s="1"/>
  <c r="B2039" i="3" s="1"/>
  <c r="B2040" i="3" s="1"/>
  <c r="B2041" i="3" s="1"/>
  <c r="B2042" i="3" s="1"/>
  <c r="B2043" i="3" s="1"/>
  <c r="B2044" i="3" s="1"/>
  <c r="B2045" i="3" s="1"/>
  <c r="B2046" i="3" s="1"/>
  <c r="B2047" i="3" s="1"/>
  <c r="B2048" i="3" s="1"/>
  <c r="B2049" i="3" s="1"/>
  <c r="B2050" i="3" s="1"/>
  <c r="B2051" i="3" s="1"/>
  <c r="B2052" i="3" s="1"/>
  <c r="B2053" i="3" s="1"/>
  <c r="B2054" i="3" s="1"/>
  <c r="B2055" i="3" s="1"/>
  <c r="B2056" i="3" s="1"/>
  <c r="B2057" i="3" s="1"/>
  <c r="B2058" i="3" s="1"/>
  <c r="B2059" i="3" s="1"/>
  <c r="B2060" i="3" s="1"/>
  <c r="B2061" i="3" s="1"/>
  <c r="B2062" i="3" s="1"/>
  <c r="B2063" i="3" s="1"/>
  <c r="B2064" i="3" s="1"/>
  <c r="B2065" i="3" s="1"/>
  <c r="B2066" i="3" s="1"/>
  <c r="B2067" i="3" s="1"/>
  <c r="B2068" i="3" s="1"/>
  <c r="B2069" i="3" s="1"/>
  <c r="B2070" i="3" s="1"/>
  <c r="B2071" i="3" s="1"/>
  <c r="B2072" i="3" s="1"/>
  <c r="B2073" i="3" s="1"/>
  <c r="B2074" i="3" s="1"/>
  <c r="B2075" i="3" s="1"/>
  <c r="B2076" i="3" s="1"/>
  <c r="B2077" i="3" s="1"/>
  <c r="B2078" i="3" s="1"/>
  <c r="B2079" i="3" s="1"/>
  <c r="B2080" i="3" s="1"/>
  <c r="B2081" i="3" s="1"/>
  <c r="B2082" i="3" s="1"/>
  <c r="B2083" i="3" s="1"/>
  <c r="B2084" i="3" s="1"/>
  <c r="B2085" i="3" s="1"/>
  <c r="B2086" i="3" s="1"/>
  <c r="B2087" i="3" s="1"/>
  <c r="B2088" i="3" s="1"/>
  <c r="B2089" i="3" s="1"/>
  <c r="B2090" i="3" s="1"/>
  <c r="B2091" i="3" s="1"/>
  <c r="B2092" i="3" s="1"/>
  <c r="B2093" i="3" s="1"/>
  <c r="B2094" i="3" s="1"/>
  <c r="B2095" i="3" s="1"/>
  <c r="B2096" i="3" s="1"/>
  <c r="B2097" i="3" s="1"/>
  <c r="B2098" i="3" s="1"/>
  <c r="B2099" i="3" s="1"/>
  <c r="B2100" i="3" s="1"/>
  <c r="B2101" i="3" s="1"/>
  <c r="B2102" i="3" s="1"/>
  <c r="B2103" i="3" s="1"/>
  <c r="B2104" i="3" s="1"/>
  <c r="B2105" i="3" s="1"/>
  <c r="B2106" i="3" s="1"/>
  <c r="B2107" i="3" s="1"/>
  <c r="B2108" i="3" s="1"/>
  <c r="B2109" i="3" s="1"/>
  <c r="B2110" i="3" s="1"/>
  <c r="B2111" i="3" s="1"/>
  <c r="B2112" i="3" s="1"/>
  <c r="B2113" i="3" s="1"/>
  <c r="B2114" i="3" s="1"/>
  <c r="B2115" i="3" s="1"/>
  <c r="B2116" i="3" s="1"/>
  <c r="B2117" i="3" s="1"/>
  <c r="B2118" i="3" s="1"/>
  <c r="B2119" i="3" s="1"/>
  <c r="B2120" i="3" s="1"/>
  <c r="B2121" i="3" s="1"/>
  <c r="B2122" i="3" s="1"/>
  <c r="B2123" i="3" s="1"/>
  <c r="B2124" i="3" s="1"/>
  <c r="B2125" i="3" s="1"/>
  <c r="B2126" i="3" s="1"/>
  <c r="B2127" i="3" s="1"/>
  <c r="B2128" i="3" s="1"/>
  <c r="B2129" i="3" s="1"/>
  <c r="B2130" i="3" s="1"/>
  <c r="B2131" i="3" s="1"/>
  <c r="B2132" i="3" s="1"/>
  <c r="B2133" i="3" s="1"/>
  <c r="B2134" i="3" s="1"/>
  <c r="B2135" i="3" s="1"/>
  <c r="B2136" i="3" s="1"/>
  <c r="B2137" i="3" s="1"/>
  <c r="B2138" i="3" s="1"/>
  <c r="B2139" i="3" s="1"/>
  <c r="B2140" i="3" s="1"/>
  <c r="B2141" i="3" s="1"/>
  <c r="B2142" i="3" s="1"/>
  <c r="B2143" i="3" s="1"/>
  <c r="B2144" i="3" s="1"/>
  <c r="B2145" i="3" s="1"/>
  <c r="B2146" i="3" s="1"/>
  <c r="B2147" i="3" s="1"/>
  <c r="B2148" i="3" s="1"/>
  <c r="B2149" i="3" s="1"/>
  <c r="B2150" i="3" s="1"/>
  <c r="B2151" i="3" s="1"/>
  <c r="B2152" i="3" s="1"/>
  <c r="B2153" i="3" s="1"/>
  <c r="B2154" i="3" s="1"/>
  <c r="B2155" i="3" s="1"/>
  <c r="B2156" i="3" s="1"/>
  <c r="B2157" i="3" s="1"/>
  <c r="B2158" i="3" s="1"/>
  <c r="B2159" i="3" s="1"/>
  <c r="B2160" i="3" s="1"/>
  <c r="B2161" i="3" s="1"/>
  <c r="B2162" i="3" s="1"/>
  <c r="B2163" i="3" s="1"/>
  <c r="B2164" i="3" s="1"/>
  <c r="B2165" i="3" s="1"/>
  <c r="B2166" i="3" s="1"/>
  <c r="B2167" i="3" s="1"/>
  <c r="B2168" i="3" s="1"/>
  <c r="B2169" i="3" s="1"/>
  <c r="B2170" i="3" s="1"/>
  <c r="B2171" i="3" s="1"/>
  <c r="B2172" i="3" s="1"/>
  <c r="B2173" i="3" s="1"/>
  <c r="B2174" i="3" s="1"/>
  <c r="B2175" i="3" s="1"/>
  <c r="B2176" i="3" s="1"/>
  <c r="B2177" i="3" s="1"/>
  <c r="B2178" i="3" s="1"/>
  <c r="B2179" i="3" s="1"/>
  <c r="B2180" i="3" s="1"/>
  <c r="B2181" i="3" s="1"/>
  <c r="B2182" i="3" s="1"/>
  <c r="B2183" i="3" s="1"/>
  <c r="B2184" i="3" s="1"/>
  <c r="B2185" i="3" s="1"/>
  <c r="B2186" i="3" s="1"/>
  <c r="B2187" i="3" s="1"/>
  <c r="B2188" i="3" s="1"/>
  <c r="B2189" i="3" s="1"/>
  <c r="B2190" i="3" s="1"/>
  <c r="B2191" i="3" s="1"/>
  <c r="B2192" i="3" s="1"/>
  <c r="B2193" i="3" s="1"/>
  <c r="B2194" i="3" s="1"/>
  <c r="B2195" i="3" s="1"/>
  <c r="B2196" i="3" s="1"/>
  <c r="B2197" i="3" s="1"/>
  <c r="B2198" i="3" s="1"/>
  <c r="B2199" i="3" s="1"/>
  <c r="B2200" i="3" s="1"/>
  <c r="B2201" i="3" s="1"/>
  <c r="B2202" i="3" s="1"/>
  <c r="B2203" i="3" s="1"/>
  <c r="B2204" i="3" s="1"/>
  <c r="B2205" i="3" s="1"/>
  <c r="B2206" i="3" s="1"/>
  <c r="B2207" i="3" s="1"/>
  <c r="B2208" i="3" s="1"/>
  <c r="B2209" i="3" s="1"/>
  <c r="B2210" i="3" s="1"/>
  <c r="B2211" i="3" s="1"/>
  <c r="B2212" i="3" s="1"/>
  <c r="B2213" i="3" s="1"/>
  <c r="B2214" i="3" s="1"/>
  <c r="B2215" i="3" s="1"/>
  <c r="B2216" i="3" s="1"/>
  <c r="B2217" i="3" s="1"/>
  <c r="B2218" i="3" s="1"/>
  <c r="B2219" i="3" s="1"/>
  <c r="B2220" i="3" s="1"/>
  <c r="B2221" i="3" s="1"/>
  <c r="B2222" i="3" s="1"/>
  <c r="B2223" i="3" s="1"/>
  <c r="B2224" i="3" s="1"/>
  <c r="B2225" i="3" s="1"/>
  <c r="B2226" i="3" s="1"/>
  <c r="B2227" i="3" s="1"/>
  <c r="B2228" i="3" s="1"/>
  <c r="B2229" i="3" s="1"/>
  <c r="B2230" i="3" s="1"/>
  <c r="B2231" i="3" s="1"/>
  <c r="B2232" i="3" s="1"/>
  <c r="B2233" i="3" s="1"/>
  <c r="B2234" i="3" s="1"/>
  <c r="B2235" i="3" s="1"/>
  <c r="B2236" i="3" s="1"/>
  <c r="B2237" i="3" s="1"/>
  <c r="B2238" i="3" s="1"/>
  <c r="B2239" i="3" s="1"/>
  <c r="B2240" i="3" s="1"/>
  <c r="B2241" i="3" s="1"/>
  <c r="B2242" i="3" s="1"/>
  <c r="B2243" i="3" s="1"/>
  <c r="B2244" i="3" s="1"/>
  <c r="B2245" i="3" s="1"/>
  <c r="B2246" i="3" s="1"/>
  <c r="B2247" i="3" s="1"/>
  <c r="B2248" i="3" s="1"/>
  <c r="B2249" i="3" s="1"/>
  <c r="B2250" i="3" s="1"/>
  <c r="B2251" i="3" s="1"/>
  <c r="B2252" i="3" s="1"/>
  <c r="B2253" i="3" s="1"/>
  <c r="B2254" i="3" s="1"/>
  <c r="B2255" i="3" s="1"/>
  <c r="B2256" i="3" s="1"/>
  <c r="B2257" i="3" s="1"/>
  <c r="B2258" i="3" s="1"/>
  <c r="B2259" i="3" s="1"/>
  <c r="B2260" i="3" s="1"/>
  <c r="B2261" i="3" s="1"/>
  <c r="B2262" i="3" s="1"/>
  <c r="B2263" i="3" s="1"/>
  <c r="B2264" i="3" s="1"/>
  <c r="B2265" i="3" s="1"/>
  <c r="B2266" i="3" s="1"/>
  <c r="B2267" i="3" s="1"/>
  <c r="B2268" i="3" s="1"/>
  <c r="B2269" i="3" s="1"/>
  <c r="B2270" i="3" s="1"/>
  <c r="B2271" i="3" s="1"/>
  <c r="B2272" i="3" s="1"/>
  <c r="B2273" i="3" s="1"/>
  <c r="B2274" i="3" s="1"/>
  <c r="B2275" i="3" s="1"/>
  <c r="B2276" i="3" s="1"/>
  <c r="B2277" i="3" s="1"/>
  <c r="B2278" i="3" s="1"/>
  <c r="B2279" i="3" s="1"/>
  <c r="B2280" i="3" s="1"/>
  <c r="B2281" i="3" s="1"/>
  <c r="B2282" i="3" s="1"/>
  <c r="B2283" i="3" s="1"/>
  <c r="B2284" i="3" s="1"/>
  <c r="B2285" i="3" s="1"/>
  <c r="B2286" i="3" s="1"/>
  <c r="B2287" i="3" s="1"/>
  <c r="B2288" i="3" s="1"/>
  <c r="B2289" i="3" s="1"/>
  <c r="B2290" i="3" s="1"/>
  <c r="B2291" i="3" s="1"/>
  <c r="B2292" i="3" s="1"/>
  <c r="B2293" i="3" s="1"/>
  <c r="B2294" i="3" s="1"/>
  <c r="B2295" i="3" s="1"/>
  <c r="B2296" i="3" s="1"/>
  <c r="B2297" i="3" s="1"/>
  <c r="B2298" i="3" s="1"/>
  <c r="B2299" i="3" s="1"/>
  <c r="B2300" i="3" s="1"/>
  <c r="B2301" i="3" s="1"/>
  <c r="B2302" i="3" s="1"/>
  <c r="B2303" i="3" s="1"/>
  <c r="B2304" i="3" s="1"/>
  <c r="B2305" i="3" s="1"/>
  <c r="B2306" i="3" s="1"/>
  <c r="B2307" i="3" s="1"/>
  <c r="B2308" i="3" s="1"/>
  <c r="B2309" i="3" s="1"/>
  <c r="B2310" i="3" s="1"/>
  <c r="B2311" i="3" s="1"/>
  <c r="B2312" i="3" s="1"/>
  <c r="B2313" i="3" s="1"/>
  <c r="B2314" i="3" s="1"/>
  <c r="B2315" i="3" s="1"/>
  <c r="B2316" i="3" s="1"/>
  <c r="B2317" i="3" s="1"/>
  <c r="B2318" i="3" s="1"/>
  <c r="B2319" i="3" s="1"/>
  <c r="B2320" i="3" s="1"/>
  <c r="B2321" i="3" s="1"/>
  <c r="B2322" i="3" s="1"/>
  <c r="B2323" i="3" s="1"/>
  <c r="B2324" i="3" s="1"/>
  <c r="B2325" i="3" s="1"/>
  <c r="B2326" i="3" s="1"/>
  <c r="B2327" i="3" s="1"/>
  <c r="B2328" i="3" s="1"/>
  <c r="B2329" i="3" s="1"/>
  <c r="B2330" i="3" s="1"/>
  <c r="B2331" i="3" s="1"/>
  <c r="B2332" i="3" s="1"/>
  <c r="B2333" i="3" s="1"/>
  <c r="B2334" i="3" s="1"/>
  <c r="B2335" i="3" s="1"/>
  <c r="B2336" i="3" s="1"/>
  <c r="B2337" i="3" s="1"/>
  <c r="B2338" i="3" s="1"/>
  <c r="B2339" i="3" s="1"/>
  <c r="B2340" i="3" s="1"/>
  <c r="B2341" i="3" s="1"/>
  <c r="B2342" i="3" s="1"/>
  <c r="B2343" i="3" s="1"/>
  <c r="B2344" i="3" s="1"/>
  <c r="B2345" i="3" s="1"/>
  <c r="B2346" i="3" s="1"/>
  <c r="B2347" i="3" s="1"/>
  <c r="B2348" i="3" s="1"/>
  <c r="B2349" i="3" s="1"/>
  <c r="B2350" i="3" s="1"/>
  <c r="B2351" i="3" s="1"/>
  <c r="B2352" i="3" s="1"/>
  <c r="B2353" i="3" s="1"/>
  <c r="B2354" i="3" s="1"/>
  <c r="B2355" i="3" s="1"/>
  <c r="B2356" i="3" s="1"/>
  <c r="B2357" i="3" s="1"/>
  <c r="B2358" i="3" s="1"/>
  <c r="B2359" i="3" s="1"/>
  <c r="B2360" i="3" s="1"/>
  <c r="B2361" i="3" s="1"/>
  <c r="B2362" i="3" s="1"/>
  <c r="B2363" i="3" s="1"/>
  <c r="B2364" i="3" s="1"/>
  <c r="B2365" i="3" s="1"/>
  <c r="B2366" i="3" s="1"/>
  <c r="B2367" i="3" s="1"/>
  <c r="B2368" i="3" s="1"/>
  <c r="B2369" i="3" s="1"/>
  <c r="B2370" i="3" s="1"/>
  <c r="B2371" i="3" s="1"/>
  <c r="B2372" i="3" s="1"/>
  <c r="B2373" i="3" s="1"/>
  <c r="B2374" i="3" s="1"/>
  <c r="B2375" i="3" s="1"/>
  <c r="B2376" i="3" s="1"/>
  <c r="B2377" i="3" s="1"/>
  <c r="B2378" i="3" s="1"/>
  <c r="B2379" i="3" s="1"/>
  <c r="B2380" i="3" s="1"/>
  <c r="B2381" i="3" s="1"/>
  <c r="B2382" i="3" s="1"/>
  <c r="B2383" i="3" s="1"/>
  <c r="B2384" i="3" s="1"/>
  <c r="B2385" i="3" s="1"/>
  <c r="B2386" i="3" s="1"/>
  <c r="B2387" i="3" s="1"/>
  <c r="B2388" i="3" s="1"/>
  <c r="B2389" i="3" s="1"/>
  <c r="B2390" i="3" s="1"/>
  <c r="B2391" i="3" s="1"/>
  <c r="B2392" i="3" s="1"/>
  <c r="B2393" i="3" s="1"/>
  <c r="B2394" i="3" s="1"/>
  <c r="B2395" i="3" s="1"/>
  <c r="B2396" i="3" s="1"/>
  <c r="B2397" i="3" s="1"/>
  <c r="B2398" i="3" s="1"/>
  <c r="B2399" i="3" s="1"/>
  <c r="B2400" i="3" s="1"/>
  <c r="B2401" i="3" s="1"/>
  <c r="B2402" i="3" s="1"/>
  <c r="B2403" i="3" s="1"/>
  <c r="B2404" i="3" s="1"/>
  <c r="B2405" i="3" s="1"/>
  <c r="B2406" i="3" s="1"/>
  <c r="B2407" i="3" s="1"/>
  <c r="B2408" i="3" s="1"/>
  <c r="B2409" i="3" s="1"/>
  <c r="B2410" i="3" s="1"/>
  <c r="B2411" i="3" s="1"/>
  <c r="B2412" i="3" s="1"/>
  <c r="B2413" i="3" s="1"/>
  <c r="B2414" i="3" s="1"/>
  <c r="B2415" i="3" s="1"/>
  <c r="B2416" i="3" s="1"/>
  <c r="B2417" i="3" s="1"/>
  <c r="B2418" i="3" s="1"/>
  <c r="B2419" i="3" s="1"/>
  <c r="B2420" i="3" s="1"/>
  <c r="B2421" i="3" s="1"/>
  <c r="B2422" i="3" s="1"/>
  <c r="B2423" i="3" s="1"/>
  <c r="B2424" i="3" s="1"/>
  <c r="B2425" i="3" s="1"/>
  <c r="B2426" i="3" s="1"/>
  <c r="B2427" i="3" s="1"/>
  <c r="B2428" i="3" s="1"/>
  <c r="B2429" i="3" s="1"/>
  <c r="B2430" i="3" s="1"/>
  <c r="B2431" i="3" s="1"/>
  <c r="B2432" i="3" s="1"/>
  <c r="B2433" i="3" s="1"/>
  <c r="B2434" i="3" s="1"/>
  <c r="B2435" i="3" s="1"/>
  <c r="B2436" i="3" s="1"/>
  <c r="B2437" i="3" s="1"/>
  <c r="B2438" i="3" s="1"/>
  <c r="B2439" i="3" s="1"/>
  <c r="B2440" i="3" s="1"/>
  <c r="B2441" i="3" s="1"/>
  <c r="B2442" i="3" s="1"/>
  <c r="B2443" i="3" s="1"/>
  <c r="B2444" i="3" s="1"/>
  <c r="B2445" i="3" s="1"/>
  <c r="B2446" i="3" s="1"/>
  <c r="B2447" i="3" s="1"/>
  <c r="B2448" i="3" s="1"/>
  <c r="B2449" i="3" s="1"/>
  <c r="B2450" i="3" s="1"/>
  <c r="B2451" i="3" s="1"/>
  <c r="B2452" i="3" s="1"/>
  <c r="B2453" i="3" s="1"/>
  <c r="B2454" i="3" s="1"/>
  <c r="B2455" i="3" s="1"/>
  <c r="B2456" i="3" s="1"/>
  <c r="B2457" i="3" s="1"/>
  <c r="B2458" i="3" s="1"/>
  <c r="B2459" i="3" s="1"/>
  <c r="B2460" i="3" s="1"/>
  <c r="B2461" i="3" s="1"/>
  <c r="B2462" i="3" s="1"/>
  <c r="B2463" i="3" s="1"/>
  <c r="B2464" i="3" s="1"/>
  <c r="B2465" i="3" s="1"/>
  <c r="B2466" i="3" s="1"/>
  <c r="B2467" i="3" s="1"/>
  <c r="B2468" i="3" s="1"/>
  <c r="B2469" i="3" s="1"/>
  <c r="B2470" i="3" s="1"/>
  <c r="B2471" i="3" s="1"/>
  <c r="B2472" i="3" s="1"/>
  <c r="B2473" i="3" s="1"/>
  <c r="B2474" i="3" s="1"/>
  <c r="B2475" i="3" s="1"/>
  <c r="B2476" i="3" s="1"/>
  <c r="B2477" i="3" s="1"/>
  <c r="B2478" i="3" s="1"/>
  <c r="B2479" i="3" s="1"/>
  <c r="B2480" i="3" s="1"/>
  <c r="B2481" i="3" s="1"/>
  <c r="B2482" i="3" s="1"/>
  <c r="B2483" i="3" s="1"/>
  <c r="B2484" i="3" s="1"/>
  <c r="B2485" i="3" s="1"/>
  <c r="B2486" i="3" s="1"/>
  <c r="B2487" i="3" s="1"/>
  <c r="B2488" i="3" s="1"/>
  <c r="B2489" i="3" s="1"/>
  <c r="B2490" i="3" s="1"/>
  <c r="B2491" i="3" s="1"/>
  <c r="B2492" i="3" s="1"/>
  <c r="B2493" i="3" s="1"/>
  <c r="B2494" i="3" s="1"/>
  <c r="B2495" i="3" s="1"/>
  <c r="B2496" i="3" s="1"/>
  <c r="B2497" i="3" s="1"/>
  <c r="B2498" i="3" s="1"/>
  <c r="B2499" i="3" s="1"/>
  <c r="B2500" i="3" s="1"/>
  <c r="B2501" i="3" s="1"/>
  <c r="B2502" i="3" s="1"/>
  <c r="B2503" i="3" s="1"/>
  <c r="B2504" i="3" s="1"/>
  <c r="B2505" i="3" s="1"/>
  <c r="B2506" i="3" s="1"/>
  <c r="B2507" i="3" s="1"/>
  <c r="B2508" i="3" s="1"/>
  <c r="B2509" i="3" s="1"/>
  <c r="B2510" i="3" s="1"/>
  <c r="B2511" i="3" s="1"/>
  <c r="B2512" i="3" s="1"/>
  <c r="B2513" i="3" s="1"/>
  <c r="B2514" i="3" s="1"/>
  <c r="B2515" i="3" s="1"/>
  <c r="B2516" i="3" s="1"/>
  <c r="B2517" i="3" s="1"/>
  <c r="B2518" i="3" s="1"/>
  <c r="B2519" i="3" s="1"/>
  <c r="B2520" i="3" s="1"/>
  <c r="B2521" i="3" s="1"/>
  <c r="B2522" i="3" s="1"/>
  <c r="B2523" i="3" s="1"/>
  <c r="B2524" i="3" s="1"/>
  <c r="B2525" i="3" s="1"/>
  <c r="B2526" i="3" s="1"/>
  <c r="B2527" i="3" s="1"/>
  <c r="B2528" i="3" s="1"/>
  <c r="B2529" i="3" s="1"/>
  <c r="B2530" i="3" s="1"/>
  <c r="B2531" i="3" s="1"/>
  <c r="B2532" i="3" s="1"/>
  <c r="B2533" i="3" s="1"/>
  <c r="B2534" i="3" s="1"/>
  <c r="B2535" i="3" s="1"/>
  <c r="B2536" i="3" s="1"/>
  <c r="B2537" i="3" s="1"/>
  <c r="B2538" i="3" s="1"/>
  <c r="B2539" i="3" s="1"/>
  <c r="B2540" i="3" s="1"/>
  <c r="B2541" i="3" s="1"/>
  <c r="B2542" i="3" s="1"/>
  <c r="B2543" i="3" s="1"/>
  <c r="B2544" i="3" s="1"/>
  <c r="B2545" i="3" s="1"/>
  <c r="B2546" i="3" s="1"/>
  <c r="B2547" i="3" s="1"/>
  <c r="B2548" i="3" s="1"/>
  <c r="B2549" i="3" s="1"/>
  <c r="B2550" i="3" s="1"/>
  <c r="B2551" i="3" s="1"/>
  <c r="B2552" i="3" s="1"/>
  <c r="B2553" i="3" s="1"/>
  <c r="B2554" i="3" s="1"/>
  <c r="B2555" i="3" s="1"/>
  <c r="B2556" i="3" s="1"/>
  <c r="B2557" i="3" s="1"/>
  <c r="B2558" i="3" s="1"/>
  <c r="B2559" i="3" s="1"/>
  <c r="B2560" i="3" s="1"/>
  <c r="B2561" i="3" s="1"/>
  <c r="B2562" i="3" s="1"/>
  <c r="B2563" i="3" s="1"/>
  <c r="B2564" i="3" s="1"/>
  <c r="B2565" i="3" s="1"/>
  <c r="B2566" i="3" s="1"/>
  <c r="B2567" i="3" s="1"/>
  <c r="B2568" i="3" s="1"/>
  <c r="B2569" i="3" s="1"/>
  <c r="B2570" i="3" s="1"/>
  <c r="B2571" i="3" s="1"/>
  <c r="B2572" i="3" s="1"/>
  <c r="B2573" i="3" s="1"/>
  <c r="B2574" i="3" s="1"/>
  <c r="B2575" i="3" s="1"/>
  <c r="B2576" i="3" s="1"/>
  <c r="B2577" i="3" s="1"/>
  <c r="B2578" i="3" s="1"/>
  <c r="B2579" i="3" s="1"/>
  <c r="B2580" i="3" s="1"/>
  <c r="B2581" i="3" s="1"/>
  <c r="B2582" i="3" s="1"/>
  <c r="B2583" i="3" s="1"/>
  <c r="B2584" i="3" s="1"/>
  <c r="B2585" i="3" s="1"/>
  <c r="B2586" i="3" s="1"/>
  <c r="B2587" i="3" s="1"/>
  <c r="B2588" i="3" s="1"/>
  <c r="B2589" i="3" s="1"/>
  <c r="B2590" i="3" s="1"/>
  <c r="B2591" i="3" s="1"/>
  <c r="B2592" i="3" s="1"/>
  <c r="B2593" i="3" s="1"/>
  <c r="B2594" i="3" s="1"/>
  <c r="B2595" i="3" s="1"/>
  <c r="B2596" i="3" s="1"/>
  <c r="B2597" i="3" s="1"/>
  <c r="B2598" i="3" s="1"/>
  <c r="B2599" i="3" s="1"/>
  <c r="B2600" i="3" s="1"/>
  <c r="B2601" i="3" s="1"/>
  <c r="B2602" i="3" s="1"/>
  <c r="B2603" i="3" s="1"/>
  <c r="B2604" i="3" s="1"/>
  <c r="B2605" i="3" s="1"/>
  <c r="B2606" i="3" s="1"/>
  <c r="B2607" i="3" s="1"/>
  <c r="B2608" i="3" s="1"/>
  <c r="B2609" i="3" s="1"/>
  <c r="B2610" i="3" s="1"/>
  <c r="B2611" i="3" s="1"/>
  <c r="B2612" i="3" s="1"/>
  <c r="B2613" i="3" s="1"/>
  <c r="B2614" i="3" s="1"/>
  <c r="B2615" i="3" s="1"/>
  <c r="B2616" i="3" s="1"/>
  <c r="B2617" i="3" s="1"/>
  <c r="B2618" i="3" s="1"/>
  <c r="B2619" i="3" s="1"/>
  <c r="B2620" i="3" s="1"/>
  <c r="B2621" i="3" s="1"/>
  <c r="B2622" i="3" s="1"/>
  <c r="B2623" i="3" s="1"/>
  <c r="B2624" i="3" s="1"/>
  <c r="B2625" i="3" s="1"/>
  <c r="B2626" i="3" s="1"/>
  <c r="B2627" i="3" s="1"/>
  <c r="B2628" i="3" s="1"/>
  <c r="B2629" i="3" s="1"/>
  <c r="B2630" i="3" s="1"/>
  <c r="B2631" i="3" s="1"/>
  <c r="B2632" i="3" s="1"/>
  <c r="B2633" i="3" s="1"/>
  <c r="B2634" i="3" s="1"/>
  <c r="B2635" i="3" s="1"/>
  <c r="B2636" i="3" s="1"/>
  <c r="B2637" i="3" s="1"/>
  <c r="B2638" i="3" s="1"/>
  <c r="B2639" i="3" s="1"/>
  <c r="B2640" i="3" s="1"/>
  <c r="B2641" i="3" s="1"/>
  <c r="B2642" i="3" s="1"/>
  <c r="B2643" i="3" s="1"/>
  <c r="B2644" i="3" s="1"/>
  <c r="B2645" i="3" s="1"/>
  <c r="B2646" i="3" s="1"/>
  <c r="B2647" i="3" s="1"/>
  <c r="B2648" i="3" s="1"/>
  <c r="B2649" i="3" s="1"/>
  <c r="B2650" i="3" s="1"/>
  <c r="B2651" i="3" s="1"/>
  <c r="B2652" i="3" s="1"/>
  <c r="B2653" i="3" s="1"/>
  <c r="B2654" i="3" s="1"/>
  <c r="B2655" i="3" s="1"/>
  <c r="B2656" i="3" s="1"/>
  <c r="B2657" i="3" s="1"/>
  <c r="B2658" i="3" s="1"/>
  <c r="B2659" i="3" s="1"/>
  <c r="B2660" i="3" s="1"/>
  <c r="B2661" i="3" s="1"/>
  <c r="B2662" i="3" s="1"/>
  <c r="B2663" i="3" s="1"/>
  <c r="B2664" i="3" s="1"/>
  <c r="B2665" i="3" s="1"/>
  <c r="B2666" i="3" s="1"/>
  <c r="B2667" i="3" s="1"/>
  <c r="B2668" i="3" s="1"/>
  <c r="B2669" i="3" s="1"/>
  <c r="B2670" i="3" s="1"/>
  <c r="B2671" i="3" s="1"/>
  <c r="B2672" i="3" s="1"/>
  <c r="B2673" i="3" s="1"/>
  <c r="B2674" i="3" s="1"/>
  <c r="B2675" i="3" s="1"/>
  <c r="B2676" i="3" s="1"/>
  <c r="B2677" i="3" s="1"/>
  <c r="B2678" i="3" s="1"/>
  <c r="B2679" i="3" s="1"/>
  <c r="B2680" i="3" s="1"/>
  <c r="B2681" i="3" s="1"/>
  <c r="B2682" i="3" s="1"/>
  <c r="B2683" i="3" s="1"/>
  <c r="B2684" i="3" s="1"/>
  <c r="B2685" i="3" s="1"/>
  <c r="B2686" i="3" s="1"/>
  <c r="B2687" i="3" s="1"/>
  <c r="B2688" i="3" s="1"/>
  <c r="B2689" i="3" s="1"/>
  <c r="B2690" i="3" s="1"/>
  <c r="B2691" i="3" s="1"/>
  <c r="B2692" i="3" s="1"/>
  <c r="B2693" i="3" s="1"/>
  <c r="B2694" i="3" s="1"/>
  <c r="B2695" i="3" s="1"/>
  <c r="B2696" i="3" s="1"/>
  <c r="B2697" i="3" s="1"/>
  <c r="B2698" i="3" s="1"/>
  <c r="B2699" i="3" s="1"/>
  <c r="B2700" i="3" s="1"/>
  <c r="B2701" i="3" s="1"/>
  <c r="B2702" i="3" s="1"/>
  <c r="B2703" i="3" s="1"/>
  <c r="B2704" i="3" s="1"/>
  <c r="B2705" i="3" s="1"/>
  <c r="B2706" i="3" s="1"/>
  <c r="B2707" i="3" s="1"/>
  <c r="B2708" i="3" s="1"/>
  <c r="B2709" i="3" s="1"/>
  <c r="B2710" i="3" s="1"/>
  <c r="B2711" i="3" s="1"/>
  <c r="B2712" i="3" s="1"/>
  <c r="B2713" i="3" s="1"/>
  <c r="B2714" i="3" s="1"/>
  <c r="B2715" i="3" s="1"/>
  <c r="B2716" i="3" s="1"/>
  <c r="B2717" i="3" s="1"/>
  <c r="B2718" i="3" s="1"/>
  <c r="B2719" i="3" s="1"/>
  <c r="B2720" i="3" s="1"/>
  <c r="B2721" i="3" s="1"/>
  <c r="B2722" i="3" s="1"/>
  <c r="B2723" i="3" s="1"/>
  <c r="B2724" i="3" s="1"/>
  <c r="B2725" i="3" s="1"/>
  <c r="B2726" i="3" s="1"/>
  <c r="B2727" i="3" s="1"/>
  <c r="B2728" i="3" s="1"/>
  <c r="B2729" i="3" s="1"/>
  <c r="B2730" i="3" s="1"/>
  <c r="B2731" i="3" s="1"/>
  <c r="B2732" i="3" s="1"/>
  <c r="B2733" i="3" s="1"/>
  <c r="B2734" i="3" s="1"/>
  <c r="B2735" i="3" s="1"/>
  <c r="B2736" i="3" s="1"/>
  <c r="B2737" i="3" s="1"/>
  <c r="B2738" i="3" s="1"/>
  <c r="B2739" i="3" s="1"/>
  <c r="B2740" i="3" s="1"/>
  <c r="B2741" i="3" s="1"/>
  <c r="B2742" i="3" s="1"/>
  <c r="B2743" i="3" s="1"/>
  <c r="B2744" i="3" s="1"/>
  <c r="B2745" i="3" s="1"/>
  <c r="B2746" i="3" s="1"/>
  <c r="B2747" i="3" s="1"/>
  <c r="B2748" i="3" s="1"/>
  <c r="B2749" i="3" s="1"/>
  <c r="B2750" i="3" s="1"/>
  <c r="B2751" i="3" s="1"/>
  <c r="B2752" i="3" s="1"/>
  <c r="B2753" i="3" s="1"/>
  <c r="B2754" i="3" s="1"/>
  <c r="B2755" i="3" s="1"/>
  <c r="B2756" i="3" s="1"/>
  <c r="B2757" i="3" s="1"/>
  <c r="B2758" i="3" s="1"/>
  <c r="B2759" i="3" s="1"/>
  <c r="B2760" i="3" s="1"/>
  <c r="B2761" i="3" s="1"/>
  <c r="B2762" i="3" s="1"/>
  <c r="B2763" i="3" s="1"/>
  <c r="B2764" i="3" s="1"/>
  <c r="B2765" i="3" s="1"/>
  <c r="B2766" i="3" s="1"/>
  <c r="B2767" i="3" s="1"/>
  <c r="B2768" i="3" s="1"/>
  <c r="B2769" i="3" s="1"/>
  <c r="B2770" i="3" s="1"/>
  <c r="B2771" i="3" s="1"/>
  <c r="B2772" i="3" s="1"/>
  <c r="B2773" i="3" s="1"/>
  <c r="B2774" i="3" s="1"/>
  <c r="B2775" i="3" s="1"/>
  <c r="B2776" i="3" s="1"/>
  <c r="B2777" i="3" s="1"/>
  <c r="B2778" i="3" s="1"/>
  <c r="B2779" i="3" s="1"/>
  <c r="B2780" i="3" s="1"/>
  <c r="B2781" i="3" s="1"/>
  <c r="B2782" i="3" s="1"/>
  <c r="B2783" i="3" s="1"/>
  <c r="B2784" i="3" s="1"/>
  <c r="B2785" i="3" s="1"/>
  <c r="B2786" i="3" s="1"/>
  <c r="B2787" i="3" s="1"/>
  <c r="B2788" i="3" s="1"/>
  <c r="B2789" i="3" s="1"/>
  <c r="B2790" i="3" s="1"/>
  <c r="B2791" i="3" s="1"/>
  <c r="B2792" i="3" s="1"/>
  <c r="B2793" i="3" s="1"/>
  <c r="B2794" i="3" s="1"/>
  <c r="B2795" i="3" s="1"/>
  <c r="B2796" i="3" s="1"/>
  <c r="B2797" i="3" s="1"/>
  <c r="B2798" i="3" s="1"/>
  <c r="B2799" i="3" s="1"/>
  <c r="B2800" i="3" s="1"/>
  <c r="B2801" i="3" s="1"/>
  <c r="B2802" i="3" s="1"/>
  <c r="B2803" i="3" s="1"/>
  <c r="B2804" i="3" s="1"/>
  <c r="B2805" i="3" s="1"/>
  <c r="B2806" i="3" s="1"/>
  <c r="B2807" i="3" s="1"/>
  <c r="B2808" i="3" s="1"/>
  <c r="B2809" i="3" s="1"/>
  <c r="B2810" i="3" s="1"/>
  <c r="B2811" i="3" s="1"/>
  <c r="B2812" i="3" s="1"/>
  <c r="B2813" i="3" s="1"/>
  <c r="B2814" i="3" s="1"/>
  <c r="B2815" i="3" s="1"/>
  <c r="B2816" i="3" s="1"/>
  <c r="B2817" i="3" s="1"/>
  <c r="B2818" i="3" s="1"/>
  <c r="B2819" i="3" s="1"/>
  <c r="B2820" i="3" s="1"/>
  <c r="B2821" i="3" s="1"/>
  <c r="B2822" i="3" s="1"/>
  <c r="B2823" i="3" s="1"/>
  <c r="B2824" i="3" s="1"/>
  <c r="B2825" i="3" s="1"/>
  <c r="B2826" i="3" s="1"/>
  <c r="B2827" i="3" s="1"/>
  <c r="B2828" i="3" s="1"/>
  <c r="B2829" i="3" s="1"/>
  <c r="B2830" i="3" s="1"/>
  <c r="B2831" i="3" s="1"/>
  <c r="B2832" i="3" s="1"/>
  <c r="B2833" i="3" s="1"/>
  <c r="B2834" i="3" s="1"/>
  <c r="B2835" i="3" s="1"/>
  <c r="B2836" i="3" s="1"/>
  <c r="B2837" i="3" s="1"/>
  <c r="B2838" i="3" s="1"/>
  <c r="B2839" i="3" s="1"/>
  <c r="B2840" i="3" s="1"/>
  <c r="B2841" i="3" s="1"/>
  <c r="B2842" i="3" s="1"/>
  <c r="B2843" i="3" s="1"/>
  <c r="B2844" i="3" s="1"/>
  <c r="B2845" i="3" s="1"/>
  <c r="B2846" i="3" s="1"/>
  <c r="B2847" i="3" s="1"/>
  <c r="B2848" i="3" s="1"/>
  <c r="B2849" i="3" s="1"/>
  <c r="B2850" i="3" s="1"/>
  <c r="B2851" i="3" s="1"/>
  <c r="B2852" i="3" s="1"/>
  <c r="B2853" i="3" s="1"/>
  <c r="B2854" i="3" s="1"/>
  <c r="B2855" i="3" s="1"/>
  <c r="B2856" i="3" s="1"/>
  <c r="B2857" i="3" s="1"/>
  <c r="B2858" i="3" s="1"/>
  <c r="B2859" i="3" s="1"/>
  <c r="B2860" i="3" s="1"/>
  <c r="B2861" i="3" s="1"/>
  <c r="B2862" i="3" s="1"/>
  <c r="B2863" i="3" s="1"/>
  <c r="B2864" i="3" s="1"/>
  <c r="B2865" i="3" s="1"/>
  <c r="B2866" i="3" s="1"/>
  <c r="B2867" i="3" s="1"/>
  <c r="B2868" i="3" s="1"/>
  <c r="B2869" i="3" s="1"/>
  <c r="B2870" i="3" s="1"/>
  <c r="B2871" i="3" s="1"/>
  <c r="B2872" i="3" s="1"/>
  <c r="B2873" i="3" s="1"/>
  <c r="B2874" i="3" s="1"/>
  <c r="B2875" i="3" s="1"/>
  <c r="B2876" i="3" s="1"/>
  <c r="B2877" i="3" s="1"/>
  <c r="B2878" i="3" s="1"/>
  <c r="B2879" i="3" s="1"/>
  <c r="B2880" i="3" s="1"/>
  <c r="B2881" i="3" s="1"/>
  <c r="B2882" i="3" s="1"/>
  <c r="B2883" i="3" s="1"/>
  <c r="B2884" i="3" s="1"/>
  <c r="B2885" i="3" s="1"/>
  <c r="B2886" i="3" s="1"/>
  <c r="B2887" i="3" s="1"/>
  <c r="B2888" i="3" s="1"/>
  <c r="B2889" i="3" s="1"/>
  <c r="B2890" i="3" s="1"/>
  <c r="B2891" i="3" s="1"/>
  <c r="B2892" i="3" s="1"/>
  <c r="B2893" i="3" s="1"/>
  <c r="B2894" i="3" s="1"/>
  <c r="B2895" i="3" s="1"/>
  <c r="B2896" i="3" s="1"/>
  <c r="B2897" i="3" s="1"/>
  <c r="B2898" i="3" s="1"/>
  <c r="B2899" i="3" s="1"/>
  <c r="B2900" i="3" s="1"/>
  <c r="B2901" i="3" s="1"/>
  <c r="B2902" i="3" s="1"/>
  <c r="B2903" i="3" s="1"/>
  <c r="B2904" i="3" s="1"/>
  <c r="B2905" i="3" s="1"/>
  <c r="B2906" i="3" s="1"/>
  <c r="B2907" i="3" s="1"/>
  <c r="B2908" i="3" s="1"/>
  <c r="B2909" i="3" s="1"/>
  <c r="B2910" i="3" s="1"/>
  <c r="B2911" i="3" s="1"/>
  <c r="B2912" i="3" s="1"/>
  <c r="B2913" i="3" s="1"/>
  <c r="B2914" i="3" s="1"/>
  <c r="B2915" i="3" s="1"/>
  <c r="B2916" i="3" s="1"/>
  <c r="B2917" i="3" s="1"/>
  <c r="B2918" i="3" s="1"/>
  <c r="B2919" i="3" s="1"/>
  <c r="B2920" i="3" s="1"/>
  <c r="B2921" i="3" s="1"/>
  <c r="B2922" i="3" s="1"/>
  <c r="B2923" i="3" s="1"/>
  <c r="B2924" i="3" s="1"/>
  <c r="B2925" i="3" s="1"/>
  <c r="B2926" i="3" s="1"/>
  <c r="B2927" i="3" s="1"/>
  <c r="B2928" i="3" s="1"/>
  <c r="B2929" i="3" s="1"/>
  <c r="B2930" i="3" s="1"/>
  <c r="B2931" i="3" s="1"/>
  <c r="B2932" i="3" s="1"/>
  <c r="B2933" i="3" s="1"/>
  <c r="B2934" i="3" s="1"/>
  <c r="B2935" i="3" s="1"/>
  <c r="B2936" i="3" s="1"/>
  <c r="B2937" i="3" s="1"/>
  <c r="B2938" i="3" s="1"/>
  <c r="B2939" i="3" s="1"/>
  <c r="B2940" i="3" s="1"/>
  <c r="B2941" i="3" s="1"/>
  <c r="B2942" i="3" s="1"/>
  <c r="B2943" i="3" s="1"/>
  <c r="B2944" i="3" s="1"/>
  <c r="B2945" i="3" s="1"/>
  <c r="B2946" i="3" s="1"/>
  <c r="B2947" i="3" s="1"/>
  <c r="B2948" i="3" s="1"/>
  <c r="B2949" i="3" s="1"/>
  <c r="B2950" i="3" s="1"/>
  <c r="B2951" i="3" s="1"/>
  <c r="B2952" i="3" s="1"/>
  <c r="B2953" i="3" s="1"/>
  <c r="B2954" i="3" s="1"/>
  <c r="B2955" i="3" s="1"/>
  <c r="B2956" i="3" s="1"/>
  <c r="B2957" i="3" s="1"/>
  <c r="B2958" i="3" s="1"/>
  <c r="A8" i="3"/>
  <c r="P10" i="3" s="1"/>
  <c r="G35" i="1"/>
  <c r="E36" i="1"/>
  <c r="F35" i="1"/>
  <c r="N9" i="3" l="1"/>
  <c r="N1" i="3" s="1"/>
  <c r="N2" i="3" s="1"/>
  <c r="J8" i="3"/>
  <c r="F8" i="3"/>
  <c r="B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6ED01A-CC75-4E8A-A0A4-222B08E80743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8944CBB-1343-43C2-9E37-B060BD61B6F1}" name="WorksheetConnection_APY.xlsx!five" type="102" refreshedVersion="7" minRefreshableVersion="5">
    <extLst>
      <ext xmlns:x15="http://schemas.microsoft.com/office/spreadsheetml/2010/11/main" uri="{DE250136-89BD-433C-8126-D09CA5730AF9}">
        <x15:connection id="five">
          <x15:rangePr sourceName="_xlcn.WorksheetConnection_APY.xlsxfive"/>
        </x15:connection>
      </ext>
    </extLst>
  </connection>
  <connection id="3" xr16:uid="{37543BD6-5587-4137-ACC8-9E91EBF60AD6}" name="WorksheetConnection_APY.xlsx!one" type="102" refreshedVersion="7" minRefreshableVersion="5">
    <extLst>
      <ext xmlns:x15="http://schemas.microsoft.com/office/spreadsheetml/2010/11/main" uri="{DE250136-89BD-433C-8126-D09CA5730AF9}">
        <x15:connection id="one">
          <x15:rangePr sourceName="_xlcn.WorksheetConnection_APY.xlsxone"/>
        </x15:connection>
      </ext>
    </extLst>
  </connection>
</connections>
</file>

<file path=xl/sharedStrings.xml><?xml version="1.0" encoding="utf-8"?>
<sst xmlns="http://schemas.openxmlformats.org/spreadsheetml/2006/main" count="3295" uniqueCount="55">
  <si>
    <r>
      <rPr>
        <b/>
        <sz val="8.5"/>
        <rFont val="Times New Roman"/>
        <family val="1"/>
      </rPr>
      <t>Minimum Guaranteed Pension of Rs. 1000/month</t>
    </r>
  </si>
  <si>
    <r>
      <rPr>
        <b/>
        <sz val="8.5"/>
        <rFont val="Times New Roman"/>
        <family val="1"/>
      </rPr>
      <t>Minimum Guaranteed Pension of Rs.2000/month</t>
    </r>
  </si>
  <si>
    <r>
      <rPr>
        <b/>
        <sz val="8.5"/>
        <rFont val="Times New Roman"/>
        <family val="1"/>
      </rPr>
      <t>Minimum Guaranteed Pension of Rs.3000/month</t>
    </r>
  </si>
  <si>
    <r>
      <rPr>
        <b/>
        <sz val="8.5"/>
        <rFont val="Times New Roman"/>
        <family val="1"/>
      </rPr>
      <t>Minimum Guaranteed Pension of Rs.4000/month</t>
    </r>
  </si>
  <si>
    <r>
      <rPr>
        <b/>
        <sz val="8.5"/>
        <rFont val="Times New Roman"/>
        <family val="1"/>
      </rPr>
      <t>Minimum Guaranteed Pension of Rs.5000/month</t>
    </r>
  </si>
  <si>
    <r>
      <rPr>
        <b/>
        <sz val="8.5"/>
        <rFont val="Times New Roman"/>
        <family val="1"/>
      </rPr>
      <t>Return of Corpus Amount to the Nominee</t>
    </r>
  </si>
  <si>
    <r>
      <rPr>
        <b/>
        <sz val="8.5"/>
        <rFont val="Times New Roman"/>
        <family val="1"/>
      </rPr>
      <t>Rs. 1.7 Lakh</t>
    </r>
  </si>
  <si>
    <r>
      <rPr>
        <b/>
        <sz val="8.5"/>
        <rFont val="Times New Roman"/>
        <family val="1"/>
      </rPr>
      <t>Age at entry</t>
    </r>
  </si>
  <si>
    <r>
      <rPr>
        <b/>
        <sz val="8.5"/>
        <rFont val="Times New Roman"/>
        <family val="1"/>
      </rPr>
      <t>Vesting period</t>
    </r>
  </si>
  <si>
    <r>
      <rPr>
        <b/>
        <sz val="7.5"/>
        <rFont val="Times New Roman"/>
        <family val="1"/>
      </rPr>
      <t>Monthly</t>
    </r>
  </si>
  <si>
    <r>
      <rPr>
        <b/>
        <sz val="7.5"/>
        <rFont val="Times New Roman"/>
        <family val="1"/>
      </rPr>
      <t>Quarterly</t>
    </r>
  </si>
  <si>
    <r>
      <rPr>
        <b/>
        <sz val="7.5"/>
        <rFont val="Times New Roman"/>
        <family val="1"/>
      </rPr>
      <t>Half Yearly</t>
    </r>
  </si>
  <si>
    <t>1K Pension Investment</t>
  </si>
  <si>
    <t>2K Pension Investment</t>
  </si>
  <si>
    <t>3K Pension Investment</t>
  </si>
  <si>
    <t>4K Pension Investment</t>
  </si>
  <si>
    <t>5K Pension Investment</t>
  </si>
  <si>
    <t>Rs. 8.5 Lakhs</t>
  </si>
  <si>
    <t>Rs. 6.8 Lakhs</t>
  </si>
  <si>
    <t>Rs. 5.1 Lakhs</t>
  </si>
  <si>
    <t>Rs. 3.4 Lakhs</t>
  </si>
  <si>
    <t>Per Month Income</t>
  </si>
  <si>
    <t>Returns</t>
  </si>
  <si>
    <t>Monthly Pension</t>
  </si>
  <si>
    <t xml:space="preserve">Monthly </t>
  </si>
  <si>
    <t>Quarterly</t>
  </si>
  <si>
    <t>Half Yearly</t>
  </si>
  <si>
    <t xml:space="preserve"> Age to Invest</t>
  </si>
  <si>
    <t>invest year</t>
  </si>
  <si>
    <t>Total Invest</t>
  </si>
  <si>
    <t>Year Invest</t>
  </si>
  <si>
    <t>Birth Date</t>
  </si>
  <si>
    <t>Todays Date</t>
  </si>
  <si>
    <t>Age</t>
  </si>
  <si>
    <t>Monthly Invest</t>
  </si>
  <si>
    <t>Start Date</t>
  </si>
  <si>
    <t>End Date</t>
  </si>
  <si>
    <t>Monthly Income Expect</t>
  </si>
  <si>
    <t>Quarterly Invest</t>
  </si>
  <si>
    <t>Half Yearly Incest</t>
  </si>
  <si>
    <t>NO</t>
  </si>
  <si>
    <t>YES</t>
  </si>
  <si>
    <t>Invest in Years</t>
  </si>
  <si>
    <t>Total Age</t>
  </si>
  <si>
    <t>Invested</t>
  </si>
  <si>
    <t>Prnding</t>
  </si>
  <si>
    <t>Monthly</t>
  </si>
  <si>
    <t>Invested Amount</t>
  </si>
  <si>
    <t>Contribution</t>
  </si>
  <si>
    <t>Total Corpus</t>
  </si>
  <si>
    <t>Total Invested</t>
  </si>
  <si>
    <t>Total Pending</t>
  </si>
  <si>
    <t>Total Years Contributed</t>
  </si>
  <si>
    <t>Remain Years</t>
  </si>
  <si>
    <t>Invested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</si>
</sst>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Times New Roman"/>
      <charset val="204"/>
    </font>
    <font>
      <b/>
      <sz val="12"/>
      <name val="Times New Roman"/>
      <family val="1"/>
    </font>
    <font>
      <b/>
      <sz val="8.5"/>
      <name val="Times New Roman"/>
      <family val="1"/>
    </font>
    <font>
      <b/>
      <sz val="7.5"/>
      <name val="Times New Roman"/>
      <family val="1"/>
    </font>
    <font>
      <b/>
      <sz val="8.5"/>
      <color rgb="FF000000"/>
      <name val="Times New Roman"/>
      <family val="2"/>
    </font>
    <font>
      <b/>
      <sz val="8.5"/>
      <name val="Times New Roman"/>
      <family val="1"/>
    </font>
    <font>
      <sz val="8.5"/>
      <name val="Times New Roman"/>
      <family val="1"/>
    </font>
    <font>
      <sz val="7.5"/>
      <name val="Times New Roman"/>
      <family val="1"/>
    </font>
    <font>
      <sz val="8.5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theme="3" tint="0.39997558519241921"/>
      <name val="Times New Roman"/>
      <family val="1"/>
    </font>
    <font>
      <sz val="10"/>
      <color theme="0" tint="-0.499984740745262"/>
      <name val="Times New Roman"/>
      <family val="1"/>
    </font>
    <font>
      <b/>
      <sz val="15"/>
      <color theme="0"/>
      <name val="Times New Roman"/>
      <family val="1"/>
    </font>
    <font>
      <b/>
      <sz val="30"/>
      <color theme="0"/>
      <name val="Times New Roman"/>
      <family val="1"/>
    </font>
    <font>
      <sz val="10"/>
      <color theme="0" tint="-0.34998626667073579"/>
      <name val="Times New Roman"/>
      <family val="1"/>
    </font>
    <font>
      <b/>
      <sz val="10"/>
      <color theme="0" tint="-0.34998626667073579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D8536"/>
      </patternFill>
    </fill>
    <fill>
      <patternFill patternType="solid">
        <fgColor rgb="FFFFCC99"/>
      </patternFill>
    </fill>
    <fill>
      <patternFill patternType="solid">
        <fgColor rgb="FFFFD8CD"/>
      </patternFill>
    </fill>
    <fill>
      <patternFill patternType="solid">
        <fgColor rgb="FFFFED72"/>
      </patternFill>
    </fill>
    <fill>
      <patternFill patternType="solid">
        <fgColor rgb="FFCDD5E5"/>
      </patternFill>
    </fill>
    <fill>
      <patternFill patternType="solid">
        <fgColor rgb="FFEA6D59"/>
      </patternFill>
    </fill>
    <fill>
      <patternFill patternType="solid">
        <fgColor rgb="FFFFBF00"/>
      </patternFill>
    </fill>
    <fill>
      <patternFill patternType="solid">
        <fgColor rgb="FFFFECE7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113">
    <xf numFmtId="0" fontId="0" fillId="0" borderId="0" xfId="0" applyAlignment="1">
      <alignment horizontal="left" vertical="top"/>
    </xf>
    <xf numFmtId="0" fontId="0" fillId="4" borderId="4" xfId="0" applyFill="1" applyBorder="1" applyAlignment="1">
      <alignment horizontal="left" vertical="center" wrapText="1"/>
    </xf>
    <xf numFmtId="0" fontId="2" fillId="10" borderId="2" xfId="0" applyFont="1" applyFill="1" applyBorder="1" applyAlignment="1">
      <alignment horizontal="left" vertical="top" wrapText="1" indent="2"/>
    </xf>
    <xf numFmtId="0" fontId="2" fillId="10" borderId="2" xfId="0" applyFont="1" applyFill="1" applyBorder="1" applyAlignment="1">
      <alignment horizontal="left" vertical="center" wrapText="1" indent="5"/>
    </xf>
    <xf numFmtId="0" fontId="0" fillId="10" borderId="0" xfId="0" applyFill="1" applyAlignment="1">
      <alignment horizontal="left" vertical="top"/>
    </xf>
    <xf numFmtId="0" fontId="2" fillId="10" borderId="2" xfId="0" applyFont="1" applyFill="1" applyBorder="1" applyAlignment="1">
      <alignment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left" vertical="top" wrapText="1" indent="2"/>
    </xf>
    <xf numFmtId="0" fontId="6" fillId="10" borderId="2" xfId="0" applyFont="1" applyFill="1" applyBorder="1" applyAlignment="1">
      <alignment horizontal="left" vertical="center" wrapText="1" indent="5"/>
    </xf>
    <xf numFmtId="0" fontId="6" fillId="10" borderId="2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left" vertical="top"/>
    </xf>
    <xf numFmtId="0" fontId="0" fillId="10" borderId="1" xfId="0" applyFill="1" applyBorder="1" applyAlignment="1">
      <alignment horizontal="left" vertical="center" wrapText="1"/>
    </xf>
    <xf numFmtId="0" fontId="2" fillId="10" borderId="2" xfId="0" applyFont="1" applyFill="1" applyBorder="1" applyAlignment="1">
      <alignment horizontal="left" vertical="top" wrapText="1"/>
    </xf>
    <xf numFmtId="0" fontId="0" fillId="10" borderId="5" xfId="0" applyFill="1" applyBorder="1" applyAlignment="1">
      <alignment horizontal="left" vertical="center" wrapText="1"/>
    </xf>
    <xf numFmtId="1" fontId="4" fillId="10" borderId="1" xfId="0" applyNumberFormat="1" applyFont="1" applyFill="1" applyBorder="1" applyAlignment="1">
      <alignment horizontal="right" vertical="top" shrinkToFit="1"/>
    </xf>
    <xf numFmtId="1" fontId="4" fillId="7" borderId="6" xfId="0" applyNumberFormat="1" applyFont="1" applyFill="1" applyBorder="1" applyAlignment="1">
      <alignment horizontal="right" vertical="top" shrinkToFit="1"/>
    </xf>
    <xf numFmtId="0" fontId="3" fillId="10" borderId="2" xfId="0" applyFont="1" applyFill="1" applyBorder="1" applyAlignment="1">
      <alignment horizontal="right" vertical="center" wrapText="1"/>
    </xf>
    <xf numFmtId="1" fontId="4" fillId="10" borderId="2" xfId="0" applyNumberFormat="1" applyFont="1" applyFill="1" applyBorder="1" applyAlignment="1">
      <alignment horizontal="right" vertical="top" shrinkToFit="1"/>
    </xf>
    <xf numFmtId="1" fontId="4" fillId="6" borderId="6" xfId="0" applyNumberFormat="1" applyFont="1" applyFill="1" applyBorder="1" applyAlignment="1">
      <alignment horizontal="right" vertical="top" shrinkToFit="1"/>
    </xf>
    <xf numFmtId="1" fontId="4" fillId="5" borderId="6" xfId="0" applyNumberFormat="1" applyFont="1" applyFill="1" applyBorder="1" applyAlignment="1">
      <alignment horizontal="right" vertical="top" shrinkToFit="1"/>
    </xf>
    <xf numFmtId="0" fontId="2" fillId="10" borderId="8" xfId="0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right" vertical="center" wrapText="1"/>
    </xf>
    <xf numFmtId="1" fontId="8" fillId="10" borderId="2" xfId="0" applyNumberFormat="1" applyFont="1" applyFill="1" applyBorder="1" applyAlignment="1">
      <alignment horizontal="right" vertical="top" shrinkToFit="1"/>
    </xf>
    <xf numFmtId="1" fontId="4" fillId="3" borderId="6" xfId="0" applyNumberFormat="1" applyFont="1" applyFill="1" applyBorder="1" applyAlignment="1">
      <alignment horizontal="right" vertical="top" shrinkToFit="1"/>
    </xf>
    <xf numFmtId="0" fontId="5" fillId="10" borderId="0" xfId="0" applyFont="1" applyFill="1" applyAlignment="1">
      <alignment vertical="center" wrapText="1"/>
    </xf>
    <xf numFmtId="1" fontId="4" fillId="8" borderId="6" xfId="0" applyNumberFormat="1" applyFont="1" applyFill="1" applyBorder="1" applyAlignment="1">
      <alignment horizontal="right" vertical="top" shrinkToFit="1"/>
    </xf>
    <xf numFmtId="0" fontId="2" fillId="4" borderId="11" xfId="0" applyFont="1" applyFill="1" applyBorder="1" applyAlignment="1">
      <alignment horizontal="left" vertical="top" wrapText="1"/>
    </xf>
    <xf numFmtId="1" fontId="4" fillId="4" borderId="3" xfId="0" applyNumberFormat="1" applyFont="1" applyFill="1" applyBorder="1" applyAlignment="1">
      <alignment horizontal="right" vertical="top" shrinkToFit="1"/>
    </xf>
    <xf numFmtId="1" fontId="4" fillId="9" borderId="3" xfId="0" applyNumberFormat="1" applyFont="1" applyFill="1" applyBorder="1" applyAlignment="1">
      <alignment horizontal="right" vertical="top" shrinkToFit="1"/>
    </xf>
    <xf numFmtId="0" fontId="2" fillId="4" borderId="8" xfId="0" applyFont="1" applyFill="1" applyBorder="1" applyAlignment="1">
      <alignment horizontal="left" vertical="top" wrapText="1"/>
    </xf>
    <xf numFmtId="1" fontId="4" fillId="4" borderId="1" xfId="0" applyNumberFormat="1" applyFont="1" applyFill="1" applyBorder="1" applyAlignment="1">
      <alignment horizontal="right" vertical="top" shrinkToFit="1"/>
    </xf>
    <xf numFmtId="1" fontId="4" fillId="9" borderId="1" xfId="0" applyNumberFormat="1" applyFont="1" applyFill="1" applyBorder="1" applyAlignment="1">
      <alignment horizontal="right" vertical="top" shrinkToFit="1"/>
    </xf>
    <xf numFmtId="1" fontId="4" fillId="9" borderId="9" xfId="0" applyNumberFormat="1" applyFont="1" applyFill="1" applyBorder="1" applyAlignment="1">
      <alignment horizontal="right" vertical="top" shrinkToFit="1"/>
    </xf>
    <xf numFmtId="1" fontId="4" fillId="9" borderId="5" xfId="0" applyNumberFormat="1" applyFont="1" applyFill="1" applyBorder="1" applyAlignment="1">
      <alignment horizontal="right" vertical="top" shrinkToFit="1"/>
    </xf>
    <xf numFmtId="1" fontId="4" fillId="4" borderId="12" xfId="0" applyNumberFormat="1" applyFont="1" applyFill="1" applyBorder="1" applyAlignment="1">
      <alignment horizontal="right" vertical="top" shrinkToFit="1"/>
    </xf>
    <xf numFmtId="1" fontId="4" fillId="9" borderId="12" xfId="0" applyNumberFormat="1" applyFont="1" applyFill="1" applyBorder="1" applyAlignment="1">
      <alignment horizontal="right" vertical="top" shrinkToFit="1"/>
    </xf>
    <xf numFmtId="1" fontId="4" fillId="8" borderId="13" xfId="0" applyNumberFormat="1" applyFont="1" applyFill="1" applyBorder="1" applyAlignment="1">
      <alignment horizontal="right" vertical="top" shrinkToFit="1"/>
    </xf>
    <xf numFmtId="1" fontId="4" fillId="9" borderId="17" xfId="0" applyNumberFormat="1" applyFont="1" applyFill="1" applyBorder="1" applyAlignment="1">
      <alignment horizontal="right" vertical="top" shrinkToFit="1"/>
    </xf>
    <xf numFmtId="1" fontId="4" fillId="8" borderId="18" xfId="0" applyNumberFormat="1" applyFont="1" applyFill="1" applyBorder="1" applyAlignment="1">
      <alignment horizontal="right" vertical="top" shrinkToFit="1"/>
    </xf>
    <xf numFmtId="1" fontId="4" fillId="8" borderId="19" xfId="0" applyNumberFormat="1" applyFont="1" applyFill="1" applyBorder="1" applyAlignment="1">
      <alignment horizontal="right" vertical="top" shrinkToFit="1"/>
    </xf>
    <xf numFmtId="0" fontId="2" fillId="4" borderId="14" xfId="0" applyFont="1" applyFill="1" applyBorder="1" applyAlignment="1">
      <alignment horizontal="left" vertical="top" wrapText="1"/>
    </xf>
    <xf numFmtId="0" fontId="3" fillId="8" borderId="15" xfId="0" applyFont="1" applyFill="1" applyBorder="1" applyAlignment="1">
      <alignment horizontal="left" vertical="center" wrapText="1" indent="1"/>
    </xf>
    <xf numFmtId="0" fontId="3" fillId="8" borderId="15" xfId="0" applyFont="1" applyFill="1" applyBorder="1" applyAlignment="1">
      <alignment horizontal="left" vertical="center" wrapText="1"/>
    </xf>
    <xf numFmtId="0" fontId="3" fillId="8" borderId="16" xfId="0" applyFont="1" applyFill="1" applyBorder="1" applyAlignment="1">
      <alignment horizontal="right" vertical="center" wrapText="1"/>
    </xf>
    <xf numFmtId="1" fontId="4" fillId="3" borderId="13" xfId="0" applyNumberFormat="1" applyFont="1" applyFill="1" applyBorder="1" applyAlignment="1">
      <alignment horizontal="right" vertical="top" shrinkToFit="1"/>
    </xf>
    <xf numFmtId="0" fontId="3" fillId="3" borderId="15" xfId="0" applyFont="1" applyFill="1" applyBorder="1" applyAlignment="1">
      <alignment horizontal="left" vertical="center" wrapText="1" indent="1"/>
    </xf>
    <xf numFmtId="0" fontId="3" fillId="3" borderId="15" xfId="0" applyFont="1" applyFill="1" applyBorder="1" applyAlignment="1">
      <alignment horizontal="left" vertical="center" wrapText="1"/>
    </xf>
    <xf numFmtId="0" fontId="3" fillId="3" borderId="16" xfId="0" applyFont="1" applyFill="1" applyBorder="1" applyAlignment="1">
      <alignment horizontal="right" vertical="center" wrapText="1"/>
    </xf>
    <xf numFmtId="1" fontId="4" fillId="3" borderId="18" xfId="0" applyNumberFormat="1" applyFont="1" applyFill="1" applyBorder="1" applyAlignment="1">
      <alignment horizontal="right" vertical="top" shrinkToFit="1"/>
    </xf>
    <xf numFmtId="1" fontId="4" fillId="3" borderId="19" xfId="0" applyNumberFormat="1" applyFont="1" applyFill="1" applyBorder="1" applyAlignment="1">
      <alignment horizontal="right" vertical="top" shrinkToFit="1"/>
    </xf>
    <xf numFmtId="1" fontId="4" fillId="5" borderId="13" xfId="0" applyNumberFormat="1" applyFont="1" applyFill="1" applyBorder="1" applyAlignment="1">
      <alignment horizontal="right" vertical="top" shrinkToFit="1"/>
    </xf>
    <xf numFmtId="0" fontId="3" fillId="5" borderId="15" xfId="0" applyFont="1" applyFill="1" applyBorder="1" applyAlignment="1">
      <alignment horizontal="left" vertical="center" wrapText="1" indent="1"/>
    </xf>
    <xf numFmtId="0" fontId="3" fillId="5" borderId="15" xfId="0" applyFont="1" applyFill="1" applyBorder="1" applyAlignment="1">
      <alignment horizontal="left" vertical="center" wrapText="1"/>
    </xf>
    <xf numFmtId="0" fontId="3" fillId="5" borderId="16" xfId="0" applyFont="1" applyFill="1" applyBorder="1" applyAlignment="1">
      <alignment horizontal="right" vertical="center" wrapText="1"/>
    </xf>
    <xf numFmtId="1" fontId="4" fillId="5" borderId="18" xfId="0" applyNumberFormat="1" applyFont="1" applyFill="1" applyBorder="1" applyAlignment="1">
      <alignment horizontal="right" vertical="top" shrinkToFit="1"/>
    </xf>
    <xf numFmtId="1" fontId="4" fillId="5" borderId="19" xfId="0" applyNumberFormat="1" applyFont="1" applyFill="1" applyBorder="1" applyAlignment="1">
      <alignment horizontal="right" vertical="top" shrinkToFit="1"/>
    </xf>
    <xf numFmtId="1" fontId="4" fillId="6" borderId="13" xfId="0" applyNumberFormat="1" applyFont="1" applyFill="1" applyBorder="1" applyAlignment="1">
      <alignment horizontal="right" vertical="top" shrinkToFit="1"/>
    </xf>
    <xf numFmtId="0" fontId="3" fillId="6" borderId="15" xfId="0" applyFont="1" applyFill="1" applyBorder="1" applyAlignment="1">
      <alignment horizontal="left" vertical="center" wrapText="1" indent="1"/>
    </xf>
    <xf numFmtId="0" fontId="3" fillId="6" borderId="15" xfId="0" applyFont="1" applyFill="1" applyBorder="1" applyAlignment="1">
      <alignment horizontal="left" vertical="center" wrapText="1"/>
    </xf>
    <xf numFmtId="0" fontId="3" fillId="6" borderId="16" xfId="0" applyFont="1" applyFill="1" applyBorder="1" applyAlignment="1">
      <alignment horizontal="right" vertical="center" wrapText="1"/>
    </xf>
    <xf numFmtId="1" fontId="4" fillId="6" borderId="18" xfId="0" applyNumberFormat="1" applyFont="1" applyFill="1" applyBorder="1" applyAlignment="1">
      <alignment horizontal="right" vertical="top" shrinkToFit="1"/>
    </xf>
    <xf numFmtId="1" fontId="4" fillId="6" borderId="19" xfId="0" applyNumberFormat="1" applyFont="1" applyFill="1" applyBorder="1" applyAlignment="1">
      <alignment horizontal="right" vertical="top" shrinkToFit="1"/>
    </xf>
    <xf numFmtId="1" fontId="4" fillId="7" borderId="13" xfId="0" applyNumberFormat="1" applyFont="1" applyFill="1" applyBorder="1" applyAlignment="1">
      <alignment horizontal="right" vertical="top" shrinkToFit="1"/>
    </xf>
    <xf numFmtId="0" fontId="3" fillId="7" borderId="15" xfId="0" applyFont="1" applyFill="1" applyBorder="1" applyAlignment="1">
      <alignment horizontal="left" vertical="center" wrapText="1" indent="1"/>
    </xf>
    <xf numFmtId="0" fontId="3" fillId="7" borderId="15" xfId="0" applyFont="1" applyFill="1" applyBorder="1" applyAlignment="1">
      <alignment horizontal="left" vertical="center" wrapText="1"/>
    </xf>
    <xf numFmtId="0" fontId="3" fillId="7" borderId="16" xfId="0" applyFont="1" applyFill="1" applyBorder="1" applyAlignment="1">
      <alignment horizontal="right" vertical="center" wrapText="1"/>
    </xf>
    <xf numFmtId="1" fontId="4" fillId="7" borderId="18" xfId="0" applyNumberFormat="1" applyFont="1" applyFill="1" applyBorder="1" applyAlignment="1">
      <alignment horizontal="right" vertical="top" shrinkToFit="1"/>
    </xf>
    <xf numFmtId="1" fontId="4" fillId="7" borderId="19" xfId="0" applyNumberFormat="1" applyFont="1" applyFill="1" applyBorder="1" applyAlignment="1">
      <alignment horizontal="right" vertical="top" shrinkToFit="1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1" fillId="11" borderId="0" xfId="0" applyFont="1" applyFill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vertical="top"/>
    </xf>
    <xf numFmtId="0" fontId="9" fillId="0" borderId="0" xfId="0" applyFont="1" applyAlignment="1">
      <alignment vertical="top"/>
    </xf>
    <xf numFmtId="0" fontId="0" fillId="0" borderId="0" xfId="0" applyAlignment="1">
      <alignment horizontal="right" vertical="top"/>
    </xf>
    <xf numFmtId="0" fontId="14" fillId="11" borderId="0" xfId="0" applyFont="1" applyFill="1" applyAlignment="1">
      <alignment horizontal="left" vertical="top"/>
    </xf>
    <xf numFmtId="0" fontId="15" fillId="11" borderId="0" xfId="0" applyFont="1" applyFill="1" applyAlignment="1">
      <alignment horizontal="left" vertical="top"/>
    </xf>
    <xf numFmtId="0" fontId="5" fillId="4" borderId="6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top" wrapText="1"/>
    </xf>
    <xf numFmtId="0" fontId="1" fillId="10" borderId="2" xfId="0" applyFont="1" applyFill="1" applyBorder="1" applyAlignment="1">
      <alignment horizontal="center" vertical="top" wrapText="1"/>
    </xf>
    <xf numFmtId="0" fontId="1" fillId="10" borderId="7" xfId="0" applyFont="1" applyFill="1" applyBorder="1" applyAlignment="1">
      <alignment horizontal="center" vertical="top" wrapText="1"/>
    </xf>
    <xf numFmtId="0" fontId="1" fillId="10" borderId="3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2" fillId="12" borderId="21" xfId="0" applyFont="1" applyFill="1" applyBorder="1" applyAlignment="1">
      <alignment horizontal="center" vertical="top"/>
    </xf>
    <xf numFmtId="0" fontId="12" fillId="12" borderId="22" xfId="0" applyFont="1" applyFill="1" applyBorder="1" applyAlignment="1">
      <alignment horizontal="center" vertical="top"/>
    </xf>
    <xf numFmtId="0" fontId="12" fillId="12" borderId="23" xfId="0" applyFont="1" applyFill="1" applyBorder="1" applyAlignment="1">
      <alignment horizontal="center" vertical="top"/>
    </xf>
    <xf numFmtId="0" fontId="12" fillId="12" borderId="24" xfId="0" applyFont="1" applyFill="1" applyBorder="1" applyAlignment="1">
      <alignment horizontal="center" vertical="top"/>
    </xf>
    <xf numFmtId="0" fontId="12" fillId="12" borderId="0" xfId="0" applyFont="1" applyFill="1" applyAlignment="1">
      <alignment horizontal="center" vertical="top"/>
    </xf>
    <xf numFmtId="0" fontId="12" fillId="12" borderId="25" xfId="0" applyFont="1" applyFill="1" applyBorder="1" applyAlignment="1">
      <alignment horizontal="center" vertical="top"/>
    </xf>
    <xf numFmtId="0" fontId="13" fillId="12" borderId="24" xfId="0" applyFont="1" applyFill="1" applyBorder="1" applyAlignment="1">
      <alignment horizontal="center" vertical="top"/>
    </xf>
    <xf numFmtId="0" fontId="13" fillId="12" borderId="0" xfId="0" applyFont="1" applyFill="1" applyAlignment="1">
      <alignment horizontal="center" vertical="top"/>
    </xf>
    <xf numFmtId="0" fontId="13" fillId="12" borderId="25" xfId="0" applyFont="1" applyFill="1" applyBorder="1" applyAlignment="1">
      <alignment horizontal="center" vertical="top"/>
    </xf>
    <xf numFmtId="0" fontId="13" fillId="12" borderId="26" xfId="0" applyFont="1" applyFill="1" applyBorder="1" applyAlignment="1">
      <alignment horizontal="center" vertical="top"/>
    </xf>
    <xf numFmtId="0" fontId="13" fillId="12" borderId="27" xfId="0" applyFont="1" applyFill="1" applyBorder="1" applyAlignment="1">
      <alignment horizontal="center" vertical="top"/>
    </xf>
    <xf numFmtId="0" fontId="13" fillId="12" borderId="28" xfId="0" applyFont="1" applyFill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42"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solid">
          <fgColor indexed="64"/>
          <bgColor rgb="FFEA6D59"/>
        </patternFill>
      </fill>
      <alignment horizontal="right" vertical="top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solid">
          <fgColor indexed="64"/>
          <bgColor rgb="FFEA6D59"/>
        </patternFill>
      </fill>
      <alignment horizontal="right" vertical="top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solid">
          <fgColor indexed="64"/>
          <bgColor rgb="FFEA6D59"/>
        </patternFill>
      </fill>
      <alignment horizontal="right" vertical="top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solid">
          <fgColor indexed="64"/>
          <bgColor rgb="FFFFD8CD"/>
        </patternFill>
      </fill>
      <alignment horizontal="right" vertical="top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solid">
          <fgColor indexed="64"/>
          <bgColor rgb="FFCDD5E5"/>
        </patternFill>
      </fill>
      <alignment horizontal="right" vertical="top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solid">
          <fgColor indexed="64"/>
          <bgColor rgb="FFCDD5E5"/>
        </patternFill>
      </fill>
      <alignment horizontal="right" vertical="top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solid">
          <fgColor indexed="64"/>
          <bgColor rgb="FFCDD5E5"/>
        </patternFill>
      </fill>
      <alignment horizontal="right" vertical="top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solid">
          <fgColor indexed="64"/>
          <bgColor rgb="FFFFD8CD"/>
        </patternFill>
      </fill>
      <alignment horizontal="right" vertical="top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solid">
          <fgColor indexed="64"/>
          <bgColor rgb="FFFFED72"/>
        </patternFill>
      </fill>
      <alignment horizontal="right" vertical="top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solid">
          <fgColor indexed="64"/>
          <bgColor rgb="FFFFED72"/>
        </patternFill>
      </fill>
      <alignment horizontal="right" vertical="top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solid">
          <fgColor indexed="64"/>
          <bgColor rgb="FFFFED72"/>
        </patternFill>
      </fill>
      <alignment horizontal="right" vertical="top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solid">
          <fgColor indexed="64"/>
          <bgColor rgb="FFFFD8CD"/>
        </patternFill>
      </fill>
      <alignment horizontal="right" vertical="top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solid">
          <fgColor indexed="64"/>
          <bgColor rgb="FFFFCC99"/>
        </patternFill>
      </fill>
      <alignment horizontal="right" vertical="top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solid">
          <fgColor indexed="64"/>
          <bgColor rgb="FFFFCC99"/>
        </patternFill>
      </fill>
      <alignment horizontal="right" vertical="top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solid">
          <fgColor indexed="64"/>
          <bgColor rgb="FFFFCC99"/>
        </patternFill>
      </fill>
      <alignment horizontal="right" vertical="top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solid">
          <fgColor indexed="64"/>
          <bgColor rgb="FFFFD8CD"/>
        </patternFill>
      </fill>
      <alignment horizontal="right" vertical="top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solid">
          <fgColor indexed="64"/>
          <bgColor rgb="FFFFBF00"/>
        </patternFill>
      </fill>
      <alignment horizontal="right" vertical="top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solid">
          <fgColor indexed="64"/>
          <bgColor rgb="FFFFBF00"/>
        </patternFill>
      </fill>
      <alignment horizontal="right" vertical="top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solid">
          <fgColor indexed="64"/>
          <bgColor rgb="FFFFBF00"/>
        </patternFill>
      </fill>
      <alignment horizontal="right" vertical="top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solid">
          <fgColor indexed="64"/>
          <bgColor rgb="FFFFD8CD"/>
        </patternFill>
      </fill>
      <alignment horizontal="right" vertical="top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solid">
          <fgColor indexed="64"/>
          <bgColor rgb="FFFFD8CD"/>
        </patternFill>
      </fill>
      <alignment horizontal="right" vertical="top" textRotation="0" wrapText="0" indent="0" justifyLastLine="0" shrinkToFit="1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solid">
          <fgColor indexed="64"/>
          <bgColor rgb="FFFFD8CD"/>
        </patternFill>
      </fill>
      <alignment horizontal="right" vertical="top" textRotation="0" wrapText="0" indent="0" justifyLastLine="0" shrinkToFit="1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Times New Roman"/>
        <scheme val="none"/>
      </font>
      <fill>
        <patternFill patternType="solid">
          <fgColor indexed="64"/>
          <bgColor rgb="FFFFD8CD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Your APY Contribution Option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Sheet1!$P$9:$R$9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Half Yearly</c:v>
                </c:pt>
              </c:strCache>
            </c:strRef>
          </c:cat>
          <c:val>
            <c:numRef>
              <c:f>Sheet1!$P$10:$R$10</c:f>
              <c:numCache>
                <c:formatCode>General</c:formatCode>
                <c:ptCount val="3"/>
                <c:pt idx="0">
                  <c:v>1731</c:v>
                </c:pt>
                <c:pt idx="1">
                  <c:v>32680</c:v>
                </c:pt>
                <c:pt idx="2">
                  <c:v>51075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19-4952-9A28-4454F862CFF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87840848"/>
        <c:axId val="587841168"/>
      </c:barChart>
      <c:catAx>
        <c:axId val="58784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841168"/>
        <c:crosses val="autoZero"/>
        <c:auto val="1"/>
        <c:lblAlgn val="ctr"/>
        <c:lblOffset val="100"/>
        <c:noMultiLvlLbl val="0"/>
      </c:catAx>
      <c:valAx>
        <c:axId val="5878411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8784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Status</a:t>
            </a:r>
            <a:r>
              <a:rPr lang="en-IN" baseline="0"/>
              <a:t> of Your APY Amount at  Retirement</a:t>
            </a:r>
          </a:p>
        </c:rich>
      </c:tx>
      <c:layout>
        <c:manualLayout>
          <c:xMode val="edge"/>
          <c:yMode val="edge"/>
          <c:x val="0.11692246096356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Sheet1!$M$9:$M$10</c:f>
              <c:strCache>
                <c:ptCount val="2"/>
                <c:pt idx="0">
                  <c:v>Total Invested</c:v>
                </c:pt>
                <c:pt idx="1">
                  <c:v>Total Corpus</c:v>
                </c:pt>
              </c:strCache>
            </c:strRef>
          </c:cat>
          <c:val>
            <c:numRef>
              <c:f>Sheet1!$N$9:$N$10</c:f>
              <c:numCache>
                <c:formatCode>General</c:formatCode>
                <c:ptCount val="2"/>
                <c:pt idx="0">
                  <c:v>85486</c:v>
                </c:pt>
                <c:pt idx="1">
                  <c:v>850000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E-4D87-A7C6-444F8E6BE89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92392016"/>
        <c:axId val="592390096"/>
      </c:barChart>
      <c:catAx>
        <c:axId val="59239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390096"/>
        <c:crosses val="autoZero"/>
        <c:auto val="1"/>
        <c:lblAlgn val="ctr"/>
        <c:lblOffset val="100"/>
        <c:noMultiLvlLbl val="0"/>
      </c:catAx>
      <c:valAx>
        <c:axId val="5923900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9239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/>
              <a:t>Total Amount Invested by Pending</a:t>
            </a:r>
          </a:p>
        </c:rich>
      </c:tx>
      <c:layout>
        <c:manualLayout>
          <c:xMode val="edge"/>
          <c:yMode val="edge"/>
          <c:x val="0.15384911563473921"/>
          <c:y val="5.81395587270341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772-442A-9065-46A5EF67D9C7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772-442A-9065-46A5EF67D9C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Sheet1!$M$1:$M$2</c:f>
              <c:strCache>
                <c:ptCount val="2"/>
                <c:pt idx="0">
                  <c:v>Total Invested</c:v>
                </c:pt>
                <c:pt idx="1">
                  <c:v>Total Pending</c:v>
                </c:pt>
              </c:strCache>
            </c:strRef>
          </c:cat>
          <c:val>
            <c:numRef>
              <c:f>Sheet1!$N$1:$N$2</c:f>
              <c:numCache>
                <c:formatCode>General</c:formatCode>
                <c:ptCount val="2"/>
                <c:pt idx="0">
                  <c:v>85486</c:v>
                </c:pt>
                <c:pt idx="1">
                  <c:v>100754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72-442A-9065-46A5EF67D9C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0"/>
              <a:t>Total Investment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Sheet1!$M$13:$M$15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Half Yearly</c:v>
                </c:pt>
              </c:strCache>
            </c:strRef>
          </c:cat>
          <c:val>
            <c:numRef>
              <c:f>Sheet1!$N$13:$N$15</c:f>
              <c:numCache>
                <c:formatCode>General</c:formatCode>
                <c:ptCount val="3"/>
                <c:pt idx="0">
                  <c:v>0.25</c:v>
                </c:pt>
                <c:pt idx="1">
                  <c:v>4.75</c:v>
                </c:pt>
                <c:pt idx="2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9-47E4-B87E-0C155B294C1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25989176"/>
        <c:axId val="725985016"/>
      </c:barChart>
      <c:catAx>
        <c:axId val="725989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985016"/>
        <c:crosses val="autoZero"/>
        <c:auto val="1"/>
        <c:lblAlgn val="ctr"/>
        <c:lblOffset val="100"/>
        <c:noMultiLvlLbl val="0"/>
      </c:catAx>
      <c:valAx>
        <c:axId val="7259850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989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0"/>
              <a:t>Years Pending to be Invest in APY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Sheet1!$M$16:$M$17</c:f>
              <c:strCache>
                <c:ptCount val="2"/>
                <c:pt idx="0">
                  <c:v>Invested Years</c:v>
                </c:pt>
                <c:pt idx="1">
                  <c:v>Remain Years</c:v>
                </c:pt>
              </c:strCache>
            </c:strRef>
          </c:cat>
          <c:val>
            <c:numRef>
              <c:f>Sheet1!$N$16:$N$17</c:f>
              <c:numCache>
                <c:formatCode>General</c:formatCode>
                <c:ptCount val="2"/>
                <c:pt idx="0">
                  <c:v>12.5</c:v>
                </c:pt>
                <c:pt idx="1">
                  <c:v>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9-4B4D-8470-A4881F4A6EA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92384976"/>
        <c:axId val="592388496"/>
      </c:barChart>
      <c:catAx>
        <c:axId val="592384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388496"/>
        <c:crosses val="autoZero"/>
        <c:auto val="1"/>
        <c:lblAlgn val="ctr"/>
        <c:lblOffset val="100"/>
        <c:noMultiLvlLbl val="0"/>
      </c:catAx>
      <c:valAx>
        <c:axId val="5923884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38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486578</xdr:colOff>
      <xdr:row>1</xdr:row>
      <xdr:rowOff>15240</xdr:rowOff>
    </xdr:from>
    <xdr:to>
      <xdr:col>8</xdr:col>
      <xdr:colOff>468214</xdr:colOff>
      <xdr:row>6</xdr:row>
      <xdr:rowOff>76200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2AEC123-ECE7-4CE4-96E8-B765A5CC3E1D}"/>
            </a:ext>
          </a:extLst>
        </xdr:cNvPr>
        <xdr:cNvSpPr/>
      </xdr:nvSpPr>
      <xdr:spPr>
        <a:xfrm>
          <a:off x="1698433" y="189674"/>
          <a:ext cx="3617203" cy="887225"/>
        </a:xfrm>
        <a:prstGeom prst="roundRect">
          <a:avLst/>
        </a:prstGeom>
        <a:solidFill>
          <a:srgbClr val="00B050"/>
        </a:solidFill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30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Atal</a:t>
          </a:r>
          <a:r>
            <a:rPr lang="en-IN" sz="3000" b="1">
              <a:solidFill>
                <a:schemeClr val="tx2">
                  <a:lumMod val="60000"/>
                  <a:lumOff val="4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IN" sz="30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Pension</a:t>
          </a:r>
          <a:r>
            <a:rPr lang="en-IN" sz="3000" b="1">
              <a:solidFill>
                <a:schemeClr val="tx2">
                  <a:lumMod val="60000"/>
                  <a:lumOff val="4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IN" sz="30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Yojana</a:t>
          </a:r>
          <a:r>
            <a:rPr lang="en-IN" sz="3000" b="1">
              <a:solidFill>
                <a:schemeClr val="tx2">
                  <a:lumMod val="60000"/>
                  <a:lumOff val="4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</a:p>
      </xdr:txBody>
    </xdr:sp>
    <xdr:clientData/>
  </xdr:twoCellAnchor>
  <xdr:twoCellAnchor>
    <xdr:from>
      <xdr:col>8</xdr:col>
      <xdr:colOff>448235</xdr:colOff>
      <xdr:row>0</xdr:row>
      <xdr:rowOff>152400</xdr:rowOff>
    </xdr:from>
    <xdr:to>
      <xdr:col>12</xdr:col>
      <xdr:colOff>161365</xdr:colOff>
      <xdr:row>6</xdr:row>
      <xdr:rowOff>62753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D9719842-3997-43F7-A4A9-12CE55525CBC}"/>
            </a:ext>
          </a:extLst>
        </xdr:cNvPr>
        <xdr:cNvSpPr/>
      </xdr:nvSpPr>
      <xdr:spPr>
        <a:xfrm>
          <a:off x="5325035" y="152400"/>
          <a:ext cx="1541930" cy="932329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214303</xdr:colOff>
      <xdr:row>7</xdr:row>
      <xdr:rowOff>30952</xdr:rowOff>
    </xdr:from>
    <xdr:to>
      <xdr:col>6</xdr:col>
      <xdr:colOff>257847</xdr:colOff>
      <xdr:row>16</xdr:row>
      <xdr:rowOff>20067</xdr:rowOff>
    </xdr:to>
    <xdr:sp macro="" textlink="APY!AH3">
      <xdr:nvSpPr>
        <xdr:cNvPr id="19" name="Rectangle: Rounded Corners 18">
          <a:extLst>
            <a:ext uri="{FF2B5EF4-FFF2-40B4-BE49-F238E27FC236}">
              <a16:creationId xmlns:a16="http://schemas.microsoft.com/office/drawing/2014/main" id="{72BE85FB-772C-4BF2-A4DC-73B19F0AF8E2}"/>
            </a:ext>
          </a:extLst>
        </xdr:cNvPr>
        <xdr:cNvSpPr/>
      </xdr:nvSpPr>
      <xdr:spPr>
        <a:xfrm>
          <a:off x="214303" y="1187723"/>
          <a:ext cx="3679110" cy="1476392"/>
        </a:xfrm>
        <a:prstGeom prst="roundRect">
          <a:avLst/>
        </a:prstGeom>
        <a:solidFill>
          <a:srgbClr val="00B05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05F5D274-F0DC-4EE7-9683-89ED38752DB5}" type="TxLink">
            <a:rPr lang="en-US" sz="3600" b="0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Rs. 8.5 Lakhs</a:t>
          </a:fld>
          <a:endParaRPr lang="en-IN" sz="36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470446</xdr:colOff>
      <xdr:row>11</xdr:row>
      <xdr:rowOff>101382</xdr:rowOff>
    </xdr:from>
    <xdr:to>
      <xdr:col>6</xdr:col>
      <xdr:colOff>6033</xdr:colOff>
      <xdr:row>15</xdr:row>
      <xdr:rowOff>9182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CCF5FBD-0CEC-419D-AB60-CB79BEE4829C}"/>
            </a:ext>
          </a:extLst>
        </xdr:cNvPr>
        <xdr:cNvSpPr txBox="1"/>
      </xdr:nvSpPr>
      <xdr:spPr>
        <a:xfrm>
          <a:off x="470446" y="1919165"/>
          <a:ext cx="3171153" cy="568812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Retuens to</a:t>
          </a:r>
          <a:r>
            <a:rPr lang="en-IN" sz="20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IN" sz="20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Corpus Amount</a:t>
          </a:r>
        </a:p>
        <a:p>
          <a:endParaRPr lang="en-IN" sz="20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394770</xdr:colOff>
      <xdr:row>7</xdr:row>
      <xdr:rowOff>64265</xdr:rowOff>
    </xdr:from>
    <xdr:to>
      <xdr:col>9</xdr:col>
      <xdr:colOff>321325</xdr:colOff>
      <xdr:row>15</xdr:row>
      <xdr:rowOff>55084</xdr:rowOff>
    </xdr:to>
    <xdr:sp macro="" textlink="APY!E33">
      <xdr:nvSpPr>
        <xdr:cNvPr id="22" name="Rectangle: Rounded Corners 21">
          <a:extLst>
            <a:ext uri="{FF2B5EF4-FFF2-40B4-BE49-F238E27FC236}">
              <a16:creationId xmlns:a16="http://schemas.microsoft.com/office/drawing/2014/main" id="{7CE4475B-C5D2-4D42-B6E4-680065BA3971}"/>
            </a:ext>
          </a:extLst>
        </xdr:cNvPr>
        <xdr:cNvSpPr/>
      </xdr:nvSpPr>
      <xdr:spPr>
        <a:xfrm>
          <a:off x="4030336" y="1221036"/>
          <a:ext cx="1744338" cy="1312843"/>
        </a:xfrm>
        <a:prstGeom prst="roundRect">
          <a:avLst/>
        </a:prstGeom>
        <a:solidFill>
          <a:srgbClr val="00B05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3BC86C03-C59C-4823-91CF-B495119BA988}" type="TxLink">
            <a:rPr lang="en-US" sz="3600" b="0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485</a:t>
          </a:fld>
          <a:endParaRPr lang="en-IN" sz="36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45904</xdr:colOff>
      <xdr:row>7</xdr:row>
      <xdr:rowOff>33051</xdr:rowOff>
    </xdr:from>
    <xdr:to>
      <xdr:col>16</xdr:col>
      <xdr:colOff>110168</xdr:colOff>
      <xdr:row>15</xdr:row>
      <xdr:rowOff>23870</xdr:rowOff>
    </xdr:to>
    <xdr:sp macro="" textlink="APY!G33">
      <xdr:nvSpPr>
        <xdr:cNvPr id="23" name="Rectangle: Rounded Corners 22">
          <a:extLst>
            <a:ext uri="{FF2B5EF4-FFF2-40B4-BE49-F238E27FC236}">
              <a16:creationId xmlns:a16="http://schemas.microsoft.com/office/drawing/2014/main" id="{53603DE5-0132-4608-B1D2-C732FBF4E11E}"/>
            </a:ext>
          </a:extLst>
        </xdr:cNvPr>
        <xdr:cNvSpPr/>
      </xdr:nvSpPr>
      <xdr:spPr>
        <a:xfrm>
          <a:off x="7922964" y="1189822"/>
          <a:ext cx="1882047" cy="1312843"/>
        </a:xfrm>
        <a:prstGeom prst="roundRect">
          <a:avLst/>
        </a:prstGeom>
        <a:solidFill>
          <a:srgbClr val="00B05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95875D32-969D-4EEF-B8AD-E4CE06421CF9}" type="TxLink">
            <a:rPr lang="en-US" sz="3600" b="0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2862</a:t>
          </a:fld>
          <a:endParaRPr lang="en-IN" sz="36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449856</xdr:colOff>
      <xdr:row>7</xdr:row>
      <xdr:rowOff>38559</xdr:rowOff>
    </xdr:from>
    <xdr:to>
      <xdr:col>12</xdr:col>
      <xdr:colOff>523300</xdr:colOff>
      <xdr:row>15</xdr:row>
      <xdr:rowOff>29378</xdr:rowOff>
    </xdr:to>
    <xdr:sp macro="" textlink="APY!F33">
      <xdr:nvSpPr>
        <xdr:cNvPr id="24" name="Rectangle: Rounded Corners 23">
          <a:extLst>
            <a:ext uri="{FF2B5EF4-FFF2-40B4-BE49-F238E27FC236}">
              <a16:creationId xmlns:a16="http://schemas.microsoft.com/office/drawing/2014/main" id="{3BEB40F0-6A5E-4D36-9504-790A7FF7EBD0}"/>
            </a:ext>
          </a:extLst>
        </xdr:cNvPr>
        <xdr:cNvSpPr/>
      </xdr:nvSpPr>
      <xdr:spPr>
        <a:xfrm>
          <a:off x="5903205" y="1195330"/>
          <a:ext cx="1891228" cy="1312843"/>
        </a:xfrm>
        <a:prstGeom prst="roundRect">
          <a:avLst/>
        </a:prstGeom>
        <a:solidFill>
          <a:srgbClr val="00B05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869200B0-451B-4920-9F74-FF20598C423D}" type="TxLink">
            <a:rPr lang="en-US" sz="3600" b="0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1445</a:t>
          </a:fld>
          <a:endParaRPr lang="en-IN" sz="36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422314</xdr:colOff>
      <xdr:row>11</xdr:row>
      <xdr:rowOff>110168</xdr:rowOff>
    </xdr:from>
    <xdr:to>
      <xdr:col>9</xdr:col>
      <xdr:colOff>293785</xdr:colOff>
      <xdr:row>14</xdr:row>
      <xdr:rowOff>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333A962-410C-4C96-8363-DDCDE3132EE6}"/>
            </a:ext>
          </a:extLst>
        </xdr:cNvPr>
        <xdr:cNvSpPr txBox="1"/>
      </xdr:nvSpPr>
      <xdr:spPr>
        <a:xfrm>
          <a:off x="4057880" y="1927951"/>
          <a:ext cx="1689254" cy="385591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Monthly Invest</a:t>
          </a:r>
        </a:p>
      </xdr:txBody>
    </xdr:sp>
    <xdr:clientData/>
  </xdr:twoCellAnchor>
  <xdr:twoCellAnchor>
    <xdr:from>
      <xdr:col>9</xdr:col>
      <xdr:colOff>468217</xdr:colOff>
      <xdr:row>11</xdr:row>
      <xdr:rowOff>82626</xdr:rowOff>
    </xdr:from>
    <xdr:to>
      <xdr:col>12</xdr:col>
      <xdr:colOff>477397</xdr:colOff>
      <xdr:row>13</xdr:row>
      <xdr:rowOff>91807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D8EB4B0-723F-4510-ACF7-AA1DC91AEC68}"/>
            </a:ext>
          </a:extLst>
        </xdr:cNvPr>
        <xdr:cNvSpPr txBox="1"/>
      </xdr:nvSpPr>
      <xdr:spPr>
        <a:xfrm>
          <a:off x="5921566" y="1900409"/>
          <a:ext cx="1826964" cy="339687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Quarterly Invest</a:t>
          </a:r>
        </a:p>
      </xdr:txBody>
    </xdr:sp>
    <xdr:clientData/>
  </xdr:twoCellAnchor>
  <xdr:twoCellAnchor>
    <xdr:from>
      <xdr:col>13</xdr:col>
      <xdr:colOff>45904</xdr:colOff>
      <xdr:row>11</xdr:row>
      <xdr:rowOff>146892</xdr:rowOff>
    </xdr:from>
    <xdr:to>
      <xdr:col>16</xdr:col>
      <xdr:colOff>36723</xdr:colOff>
      <xdr:row>14</xdr:row>
      <xdr:rowOff>9181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72D3ED8-26D9-4946-A7D1-1B0837936DBD}"/>
            </a:ext>
          </a:extLst>
        </xdr:cNvPr>
        <xdr:cNvSpPr txBox="1"/>
      </xdr:nvSpPr>
      <xdr:spPr>
        <a:xfrm>
          <a:off x="7922964" y="1964675"/>
          <a:ext cx="1808602" cy="358048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Half Year Invest</a:t>
          </a:r>
        </a:p>
      </xdr:txBody>
    </xdr:sp>
    <xdr:clientData/>
  </xdr:twoCellAnchor>
  <xdr:twoCellAnchor>
    <xdr:from>
      <xdr:col>0</xdr:col>
      <xdr:colOff>156071</xdr:colOff>
      <xdr:row>16</xdr:row>
      <xdr:rowOff>156073</xdr:rowOff>
    </xdr:from>
    <xdr:to>
      <xdr:col>3</xdr:col>
      <xdr:colOff>560023</xdr:colOff>
      <xdr:row>26</xdr:row>
      <xdr:rowOff>110169</xdr:rowOff>
    </xdr:to>
    <xdr:sp macro="" textlink="APY!B29">
      <xdr:nvSpPr>
        <xdr:cNvPr id="29" name="Rectangle: Rounded Corners 28">
          <a:extLst>
            <a:ext uri="{FF2B5EF4-FFF2-40B4-BE49-F238E27FC236}">
              <a16:creationId xmlns:a16="http://schemas.microsoft.com/office/drawing/2014/main" id="{943270E7-0F0C-4E8F-925D-F073001F1FAE}"/>
            </a:ext>
          </a:extLst>
        </xdr:cNvPr>
        <xdr:cNvSpPr/>
      </xdr:nvSpPr>
      <xdr:spPr>
        <a:xfrm>
          <a:off x="156071" y="2800121"/>
          <a:ext cx="2221735" cy="1606626"/>
        </a:xfrm>
        <a:prstGeom prst="roundRect">
          <a:avLst/>
        </a:prstGeom>
        <a:solidFill>
          <a:srgbClr val="00B05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C913605-BE75-41D7-BF2B-5435F7FA461A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32</a:t>
          </a:fld>
          <a:endParaRPr lang="en-IN" sz="3600" b="1">
            <a:solidFill>
              <a:schemeClr val="bg1"/>
            </a:solidFill>
            <a:latin typeface="Calibri (times)"/>
          </a:endParaRPr>
        </a:p>
      </xdr:txBody>
    </xdr:sp>
    <xdr:clientData/>
  </xdr:twoCellAnchor>
  <xdr:twoCellAnchor>
    <xdr:from>
      <xdr:col>0</xdr:col>
      <xdr:colOff>238699</xdr:colOff>
      <xdr:row>21</xdr:row>
      <xdr:rowOff>82628</xdr:rowOff>
    </xdr:from>
    <xdr:to>
      <xdr:col>3</xdr:col>
      <xdr:colOff>431494</xdr:colOff>
      <xdr:row>24</xdr:row>
      <xdr:rowOff>27543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626C803-A8AD-462F-B5DC-830D4272D0BA}"/>
            </a:ext>
          </a:extLst>
        </xdr:cNvPr>
        <xdr:cNvSpPr txBox="1"/>
      </xdr:nvSpPr>
      <xdr:spPr>
        <a:xfrm>
          <a:off x="238699" y="3552941"/>
          <a:ext cx="2010578" cy="440674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Invest Years</a:t>
          </a:r>
        </a:p>
      </xdr:txBody>
    </xdr:sp>
    <xdr:clientData/>
  </xdr:twoCellAnchor>
  <xdr:twoCellAnchor>
    <xdr:from>
      <xdr:col>4</xdr:col>
      <xdr:colOff>82627</xdr:colOff>
      <xdr:row>17</xdr:row>
      <xdr:rowOff>18361</xdr:rowOff>
    </xdr:from>
    <xdr:to>
      <xdr:col>7</xdr:col>
      <xdr:colOff>569206</xdr:colOff>
      <xdr:row>26</xdr:row>
      <xdr:rowOff>27543</xdr:rowOff>
    </xdr:to>
    <xdr:sp macro="" textlink="APY!E35">
      <xdr:nvSpPr>
        <xdr:cNvPr id="31" name="Rectangle: Rounded Corners 30">
          <a:extLst>
            <a:ext uri="{FF2B5EF4-FFF2-40B4-BE49-F238E27FC236}">
              <a16:creationId xmlns:a16="http://schemas.microsoft.com/office/drawing/2014/main" id="{79E94F49-81FE-4DA1-BD10-80A6B8707742}"/>
            </a:ext>
          </a:extLst>
        </xdr:cNvPr>
        <xdr:cNvSpPr/>
      </xdr:nvSpPr>
      <xdr:spPr>
        <a:xfrm>
          <a:off x="2506338" y="2827662"/>
          <a:ext cx="2304362" cy="1496459"/>
        </a:xfrm>
        <a:prstGeom prst="roundRect">
          <a:avLst/>
        </a:prstGeom>
        <a:solidFill>
          <a:srgbClr val="00B05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B26FFDEF-40CC-4CEA-B1D6-34D8253602F6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186240</a:t>
          </a:fld>
          <a:endParaRPr lang="en-IN" sz="36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100988</xdr:colOff>
      <xdr:row>17</xdr:row>
      <xdr:rowOff>5509</xdr:rowOff>
    </xdr:from>
    <xdr:to>
      <xdr:col>12</xdr:col>
      <xdr:colOff>100987</xdr:colOff>
      <xdr:row>26</xdr:row>
      <xdr:rowOff>18361</xdr:rowOff>
    </xdr:to>
    <xdr:sp macro="" textlink="APY!F35">
      <xdr:nvSpPr>
        <xdr:cNvPr id="32" name="Rectangle: Rounded Corners 31">
          <a:extLst>
            <a:ext uri="{FF2B5EF4-FFF2-40B4-BE49-F238E27FC236}">
              <a16:creationId xmlns:a16="http://schemas.microsoft.com/office/drawing/2014/main" id="{EDA24E05-4BCF-4315-A9BA-1D339789C57B}"/>
            </a:ext>
          </a:extLst>
        </xdr:cNvPr>
        <xdr:cNvSpPr/>
      </xdr:nvSpPr>
      <xdr:spPr>
        <a:xfrm>
          <a:off x="4948410" y="2814810"/>
          <a:ext cx="2423710" cy="1500129"/>
        </a:xfrm>
        <a:prstGeom prst="roundRect">
          <a:avLst/>
        </a:prstGeom>
        <a:solidFill>
          <a:srgbClr val="00B05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5C79F6C3-F451-4E59-A7DF-AFC140C741DE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184960</a:t>
          </a:fld>
          <a:endParaRPr lang="en-IN" sz="36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247879</xdr:colOff>
      <xdr:row>16</xdr:row>
      <xdr:rowOff>84463</xdr:rowOff>
    </xdr:from>
    <xdr:to>
      <xdr:col>16</xdr:col>
      <xdr:colOff>84462</xdr:colOff>
      <xdr:row>25</xdr:row>
      <xdr:rowOff>146892</xdr:rowOff>
    </xdr:to>
    <xdr:sp macro="" textlink="APY!G35">
      <xdr:nvSpPr>
        <xdr:cNvPr id="33" name="Rectangle: Rounded Corners 32">
          <a:extLst>
            <a:ext uri="{FF2B5EF4-FFF2-40B4-BE49-F238E27FC236}">
              <a16:creationId xmlns:a16="http://schemas.microsoft.com/office/drawing/2014/main" id="{B9ADE7A2-8845-488D-A4E3-F0261143C548}"/>
            </a:ext>
          </a:extLst>
        </xdr:cNvPr>
        <xdr:cNvSpPr/>
      </xdr:nvSpPr>
      <xdr:spPr>
        <a:xfrm>
          <a:off x="7519012" y="2728511"/>
          <a:ext cx="2260293" cy="1549706"/>
        </a:xfrm>
        <a:prstGeom prst="roundRect">
          <a:avLst/>
        </a:prstGeom>
        <a:solidFill>
          <a:srgbClr val="00B05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223E9EBE-4B08-43DC-97CF-D16D922CE391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183168</a:t>
          </a:fld>
          <a:endParaRPr lang="en-IN" sz="36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220338</xdr:colOff>
      <xdr:row>21</xdr:row>
      <xdr:rowOff>100987</xdr:rowOff>
    </xdr:from>
    <xdr:to>
      <xdr:col>7</xdr:col>
      <xdr:colOff>385590</xdr:colOff>
      <xdr:row>25</xdr:row>
      <xdr:rowOff>100989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5CA6D49-4F7A-48A4-A1E5-F0B7A0CBC76B}"/>
            </a:ext>
          </a:extLst>
        </xdr:cNvPr>
        <xdr:cNvSpPr txBox="1"/>
      </xdr:nvSpPr>
      <xdr:spPr>
        <a:xfrm>
          <a:off x="2644049" y="3571300"/>
          <a:ext cx="1983035" cy="661014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</a:t>
          </a:r>
          <a:r>
            <a:rPr lang="en-IN" sz="18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tal Monthly </a:t>
          </a:r>
        </a:p>
        <a:p>
          <a:pPr algn="ctr"/>
          <a:r>
            <a:rPr lang="en-IN" sz="18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Invest</a:t>
          </a:r>
        </a:p>
      </xdr:txBody>
    </xdr:sp>
    <xdr:clientData/>
  </xdr:twoCellAnchor>
  <xdr:twoCellAnchor>
    <xdr:from>
      <xdr:col>8</xdr:col>
      <xdr:colOff>312144</xdr:colOff>
      <xdr:row>21</xdr:row>
      <xdr:rowOff>100988</xdr:rowOff>
    </xdr:from>
    <xdr:to>
      <xdr:col>11</xdr:col>
      <xdr:colOff>514120</xdr:colOff>
      <xdr:row>26</xdr:row>
      <xdr:rowOff>9181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BEC652E-1563-441B-9116-CB75F5186DB9}"/>
            </a:ext>
          </a:extLst>
        </xdr:cNvPr>
        <xdr:cNvSpPr txBox="1"/>
      </xdr:nvSpPr>
      <xdr:spPr>
        <a:xfrm>
          <a:off x="5159566" y="3571301"/>
          <a:ext cx="2019759" cy="734458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Quarterly </a:t>
          </a:r>
        </a:p>
        <a:p>
          <a:pPr algn="ctr"/>
          <a:r>
            <a:rPr lang="en-IN" sz="18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Invest</a:t>
          </a:r>
        </a:p>
      </xdr:txBody>
    </xdr:sp>
    <xdr:clientData/>
  </xdr:twoCellAnchor>
  <xdr:twoCellAnchor>
    <xdr:from>
      <xdr:col>12</xdr:col>
      <xdr:colOff>358048</xdr:colOff>
      <xdr:row>20</xdr:row>
      <xdr:rowOff>156072</xdr:rowOff>
    </xdr:from>
    <xdr:to>
      <xdr:col>15</xdr:col>
      <xdr:colOff>569205</xdr:colOff>
      <xdr:row>24</xdr:row>
      <xdr:rowOff>156072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E58C62F-93D4-4454-A22B-A690E53DFDDE}"/>
            </a:ext>
          </a:extLst>
        </xdr:cNvPr>
        <xdr:cNvSpPr txBox="1"/>
      </xdr:nvSpPr>
      <xdr:spPr>
        <a:xfrm>
          <a:off x="7629181" y="3461132"/>
          <a:ext cx="2028940" cy="661012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Half Yearly</a:t>
          </a:r>
        </a:p>
        <a:p>
          <a:pPr algn="ctr"/>
          <a:r>
            <a:rPr lang="en-IN" sz="18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Invest</a:t>
          </a:r>
        </a:p>
      </xdr:txBody>
    </xdr:sp>
    <xdr:clientData/>
  </xdr:twoCellAnchor>
  <xdr:twoCellAnchor>
    <xdr:from>
      <xdr:col>0</xdr:col>
      <xdr:colOff>165253</xdr:colOff>
      <xdr:row>27</xdr:row>
      <xdr:rowOff>73445</xdr:rowOff>
    </xdr:from>
    <xdr:to>
      <xdr:col>3</xdr:col>
      <xdr:colOff>449855</xdr:colOff>
      <xdr:row>38</xdr:row>
      <xdr:rowOff>54427</xdr:rowOff>
    </xdr:to>
    <xdr:sp macro="" textlink="APY!E39">
      <xdr:nvSpPr>
        <xdr:cNvPr id="3" name="Rectangle: Rounded Corners 2">
          <a:extLst>
            <a:ext uri="{FF2B5EF4-FFF2-40B4-BE49-F238E27FC236}">
              <a16:creationId xmlns:a16="http://schemas.microsoft.com/office/drawing/2014/main" id="{C8D601B4-25A9-4177-99AE-BA07E602EAE4}"/>
            </a:ext>
          </a:extLst>
        </xdr:cNvPr>
        <xdr:cNvSpPr/>
      </xdr:nvSpPr>
      <xdr:spPr>
        <a:xfrm>
          <a:off x="165253" y="4493045"/>
          <a:ext cx="2113402" cy="1777125"/>
        </a:xfrm>
        <a:prstGeom prst="roundRect">
          <a:avLst/>
        </a:prstGeom>
        <a:solidFill>
          <a:srgbClr val="00B05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27A5FA29-8924-46DF-95DD-D4960A17F265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37</a:t>
          </a:fld>
          <a:endParaRPr lang="en-IN" sz="36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73446</xdr:colOff>
      <xdr:row>26</xdr:row>
      <xdr:rowOff>156072</xdr:rowOff>
    </xdr:from>
    <xdr:to>
      <xdr:col>8</xdr:col>
      <xdr:colOff>18360</xdr:colOff>
      <xdr:row>38</xdr:row>
      <xdr:rowOff>0</xdr:rowOff>
    </xdr:to>
    <xdr:sp macro="" textlink="APY!E36">
      <xdr:nvSpPr>
        <xdr:cNvPr id="25" name="Rectangle: Rounded Corners 24">
          <a:extLst>
            <a:ext uri="{FF2B5EF4-FFF2-40B4-BE49-F238E27FC236}">
              <a16:creationId xmlns:a16="http://schemas.microsoft.com/office/drawing/2014/main" id="{43C46700-AF60-4A53-A6D6-92139AB914F3}"/>
            </a:ext>
          </a:extLst>
        </xdr:cNvPr>
        <xdr:cNvSpPr/>
      </xdr:nvSpPr>
      <xdr:spPr>
        <a:xfrm>
          <a:off x="2511846" y="4412386"/>
          <a:ext cx="2383314" cy="1803357"/>
        </a:xfrm>
        <a:prstGeom prst="roundRect">
          <a:avLst/>
        </a:prstGeom>
        <a:solidFill>
          <a:srgbClr val="00B05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D0D07D10-6F57-491C-A1F9-859568DACF71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5820</a:t>
          </a:fld>
          <a:endParaRPr lang="en-IN" sz="36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165253</xdr:colOff>
      <xdr:row>27</xdr:row>
      <xdr:rowOff>0</xdr:rowOff>
    </xdr:from>
    <xdr:to>
      <xdr:col>12</xdr:col>
      <xdr:colOff>55084</xdr:colOff>
      <xdr:row>38</xdr:row>
      <xdr:rowOff>32657</xdr:rowOff>
    </xdr:to>
    <xdr:sp macro="" textlink="APY!F36">
      <xdr:nvSpPr>
        <xdr:cNvPr id="37" name="Rectangle: Rounded Corners 36">
          <a:extLst>
            <a:ext uri="{FF2B5EF4-FFF2-40B4-BE49-F238E27FC236}">
              <a16:creationId xmlns:a16="http://schemas.microsoft.com/office/drawing/2014/main" id="{8F4988DD-4298-4AA3-9022-8B9E804CD68C}"/>
            </a:ext>
          </a:extLst>
        </xdr:cNvPr>
        <xdr:cNvSpPr/>
      </xdr:nvSpPr>
      <xdr:spPr>
        <a:xfrm>
          <a:off x="5042053" y="4419600"/>
          <a:ext cx="2328231" cy="1828800"/>
        </a:xfrm>
        <a:prstGeom prst="roundRect">
          <a:avLst/>
        </a:prstGeom>
        <a:solidFill>
          <a:srgbClr val="00B05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BC32F612-D03D-426E-99AE-46E34B338610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5780</a:t>
          </a:fld>
          <a:endParaRPr lang="en-IN" sz="36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192795</xdr:colOff>
      <xdr:row>27</xdr:row>
      <xdr:rowOff>0</xdr:rowOff>
    </xdr:from>
    <xdr:to>
      <xdr:col>16</xdr:col>
      <xdr:colOff>55084</xdr:colOff>
      <xdr:row>37</xdr:row>
      <xdr:rowOff>141514</xdr:rowOff>
    </xdr:to>
    <xdr:sp macro="" textlink="APY!G36">
      <xdr:nvSpPr>
        <xdr:cNvPr id="38" name="Rectangle: Rounded Corners 37">
          <a:extLst>
            <a:ext uri="{FF2B5EF4-FFF2-40B4-BE49-F238E27FC236}">
              <a16:creationId xmlns:a16="http://schemas.microsoft.com/office/drawing/2014/main" id="{255A11F6-96D0-404C-A905-6C9E5874CC90}"/>
            </a:ext>
          </a:extLst>
        </xdr:cNvPr>
        <xdr:cNvSpPr/>
      </xdr:nvSpPr>
      <xdr:spPr>
        <a:xfrm>
          <a:off x="7507995" y="4419600"/>
          <a:ext cx="2300689" cy="1774371"/>
        </a:xfrm>
        <a:prstGeom prst="roundRect">
          <a:avLst/>
        </a:prstGeom>
        <a:solidFill>
          <a:srgbClr val="00B05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9364E83-172E-409A-B619-A13904DBCE83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5724</a:t>
          </a:fld>
          <a:endParaRPr lang="en-IN" sz="3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275422</xdr:colOff>
      <xdr:row>31</xdr:row>
      <xdr:rowOff>73446</xdr:rowOff>
    </xdr:from>
    <xdr:to>
      <xdr:col>3</xdr:col>
      <xdr:colOff>302964</xdr:colOff>
      <xdr:row>37</xdr:row>
      <xdr:rowOff>87086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074BAF-F8D5-49A6-8B11-4A898B5E97CE}"/>
            </a:ext>
          </a:extLst>
        </xdr:cNvPr>
        <xdr:cNvSpPr txBox="1"/>
      </xdr:nvSpPr>
      <xdr:spPr>
        <a:xfrm>
          <a:off x="275422" y="5146189"/>
          <a:ext cx="1856342" cy="993354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</a:t>
          </a:r>
          <a:r>
            <a:rPr lang="en-IN" sz="1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Months To Recover Invested Amount After 60</a:t>
          </a:r>
        </a:p>
      </xdr:txBody>
    </xdr:sp>
    <xdr:clientData/>
  </xdr:twoCellAnchor>
  <xdr:twoCellAnchor>
    <xdr:from>
      <xdr:col>4</xdr:col>
      <xdr:colOff>128529</xdr:colOff>
      <xdr:row>30</xdr:row>
      <xdr:rowOff>137710</xdr:rowOff>
    </xdr:from>
    <xdr:to>
      <xdr:col>7</xdr:col>
      <xdr:colOff>514120</xdr:colOff>
      <xdr:row>35</xdr:row>
      <xdr:rowOff>45904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6EC9C80-DB08-4A1D-99C7-12BAFDAE5B44}"/>
            </a:ext>
          </a:extLst>
        </xdr:cNvPr>
        <xdr:cNvSpPr txBox="1"/>
      </xdr:nvSpPr>
      <xdr:spPr>
        <a:xfrm>
          <a:off x="2552240" y="5095300"/>
          <a:ext cx="2203374" cy="734459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Per Year</a:t>
          </a:r>
          <a:r>
            <a:rPr lang="en-IN" sz="20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Monthly</a:t>
          </a:r>
        </a:p>
        <a:p>
          <a:pPr algn="ctr"/>
          <a:r>
            <a:rPr lang="en-IN" sz="20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Invest</a:t>
          </a:r>
          <a:endParaRPr lang="en-IN" sz="20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220337</xdr:colOff>
      <xdr:row>30</xdr:row>
      <xdr:rowOff>137712</xdr:rowOff>
    </xdr:from>
    <xdr:to>
      <xdr:col>11</xdr:col>
      <xdr:colOff>560024</xdr:colOff>
      <xdr:row>35</xdr:row>
      <xdr:rowOff>9181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26E46D8-8C32-4B13-AE09-1D66C3BF7027}"/>
            </a:ext>
          </a:extLst>
        </xdr:cNvPr>
        <xdr:cNvSpPr txBox="1"/>
      </xdr:nvSpPr>
      <xdr:spPr>
        <a:xfrm>
          <a:off x="5067759" y="5095302"/>
          <a:ext cx="2157470" cy="697734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 b="0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Per Year</a:t>
          </a:r>
          <a:r>
            <a:rPr lang="en-IN" sz="2000" b="0" baseline="0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Quarterly</a:t>
          </a:r>
          <a:endParaRPr lang="en-IN" sz="2000" b="0">
            <a:solidFill>
              <a:schemeClr val="bg1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IN" sz="2000" b="0" baseline="0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Invest</a:t>
          </a:r>
          <a:endParaRPr lang="en-IN" sz="2000" b="0">
            <a:solidFill>
              <a:schemeClr val="bg1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IN" sz="2000" b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266240</xdr:colOff>
      <xdr:row>30</xdr:row>
      <xdr:rowOff>73446</xdr:rowOff>
    </xdr:from>
    <xdr:to>
      <xdr:col>16</xdr:col>
      <xdr:colOff>18362</xdr:colOff>
      <xdr:row>35</xdr:row>
      <xdr:rowOff>27543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D750170-E90A-452E-8F80-BEDA9B7FC5DB}"/>
            </a:ext>
          </a:extLst>
        </xdr:cNvPr>
        <xdr:cNvSpPr txBox="1"/>
      </xdr:nvSpPr>
      <xdr:spPr>
        <a:xfrm>
          <a:off x="7537373" y="5040217"/>
          <a:ext cx="2175832" cy="780362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Per Year 1/2</a:t>
          </a:r>
        </a:p>
        <a:p>
          <a:pPr algn="ctr"/>
          <a:r>
            <a:rPr lang="en-IN" sz="20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Yearly Invest</a:t>
          </a:r>
        </a:p>
      </xdr:txBody>
    </xdr:sp>
    <xdr:clientData/>
  </xdr:twoCellAnchor>
  <xdr:twoCellAnchor>
    <xdr:from>
      <xdr:col>0</xdr:col>
      <xdr:colOff>220337</xdr:colOff>
      <xdr:row>0</xdr:row>
      <xdr:rowOff>165252</xdr:rowOff>
    </xdr:from>
    <xdr:to>
      <xdr:col>2</xdr:col>
      <xdr:colOff>440675</xdr:colOff>
      <xdr:row>6</xdr:row>
      <xdr:rowOff>91806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EBBB0B41-C420-4FEA-AD29-1B907B7A8E18}"/>
            </a:ext>
          </a:extLst>
        </xdr:cNvPr>
        <xdr:cNvSpPr/>
      </xdr:nvSpPr>
      <xdr:spPr>
        <a:xfrm>
          <a:off x="220337" y="165252"/>
          <a:ext cx="1432193" cy="927253"/>
        </a:xfrm>
        <a:prstGeom prst="round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306177</xdr:colOff>
      <xdr:row>0</xdr:row>
      <xdr:rowOff>153962</xdr:rowOff>
    </xdr:from>
    <xdr:to>
      <xdr:col>8</xdr:col>
      <xdr:colOff>289560</xdr:colOff>
      <xdr:row>4</xdr:row>
      <xdr:rowOff>125015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E82840D-1C3F-4854-8E87-C8505D1A2C12}"/>
            </a:ext>
          </a:extLst>
        </xdr:cNvPr>
        <xdr:cNvSpPr/>
      </xdr:nvSpPr>
      <xdr:spPr>
        <a:xfrm>
          <a:off x="1525377" y="153962"/>
          <a:ext cx="3640983" cy="641613"/>
        </a:xfrm>
        <a:prstGeom prst="roundRect">
          <a:avLst/>
        </a:prstGeom>
        <a:solidFill>
          <a:srgbClr val="00B050"/>
        </a:solidFill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30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Atal</a:t>
          </a:r>
          <a:r>
            <a:rPr lang="en-IN" sz="3000" b="1">
              <a:solidFill>
                <a:schemeClr val="tx2">
                  <a:lumMod val="60000"/>
                  <a:lumOff val="4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IN" sz="30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Pension</a:t>
          </a:r>
          <a:r>
            <a:rPr lang="en-IN" sz="3000" b="1">
              <a:solidFill>
                <a:schemeClr val="tx2">
                  <a:lumMod val="60000"/>
                  <a:lumOff val="4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IN" sz="30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Yojana</a:t>
          </a:r>
          <a:r>
            <a:rPr lang="en-IN" sz="3000" b="1">
              <a:solidFill>
                <a:schemeClr val="tx2">
                  <a:lumMod val="60000"/>
                  <a:lumOff val="4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</a:p>
      </xdr:txBody>
    </xdr:sp>
    <xdr:clientData/>
  </xdr:twoCellAnchor>
  <xdr:twoCellAnchor>
    <xdr:from>
      <xdr:col>0</xdr:col>
      <xdr:colOff>53340</xdr:colOff>
      <xdr:row>0</xdr:row>
      <xdr:rowOff>99061</xdr:rowOff>
    </xdr:from>
    <xdr:to>
      <xdr:col>2</xdr:col>
      <xdr:colOff>236219</xdr:colOff>
      <xdr:row>4</xdr:row>
      <xdr:rowOff>99061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59C3205-FE60-4A45-8913-8810D2A156EB}"/>
            </a:ext>
          </a:extLst>
        </xdr:cNvPr>
        <xdr:cNvSpPr/>
      </xdr:nvSpPr>
      <xdr:spPr>
        <a:xfrm>
          <a:off x="53340" y="99061"/>
          <a:ext cx="1402079" cy="670560"/>
        </a:xfrm>
        <a:prstGeom prst="round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83820</xdr:colOff>
      <xdr:row>5</xdr:row>
      <xdr:rowOff>30480</xdr:rowOff>
    </xdr:from>
    <xdr:to>
      <xdr:col>2</xdr:col>
      <xdr:colOff>388620</xdr:colOff>
      <xdr:row>9</xdr:row>
      <xdr:rowOff>160020</xdr:rowOff>
    </xdr:to>
    <xdr:sp macro="" textlink="Sheet1!B1">
      <xdr:nvSpPr>
        <xdr:cNvPr id="5" name="Rectangle: Rounded Corners 4">
          <a:extLst>
            <a:ext uri="{FF2B5EF4-FFF2-40B4-BE49-F238E27FC236}">
              <a16:creationId xmlns:a16="http://schemas.microsoft.com/office/drawing/2014/main" id="{BCBD23E9-6644-4784-8904-CA7569F2D861}"/>
            </a:ext>
          </a:extLst>
        </xdr:cNvPr>
        <xdr:cNvSpPr/>
      </xdr:nvSpPr>
      <xdr:spPr>
        <a:xfrm>
          <a:off x="83820" y="868680"/>
          <a:ext cx="1524000" cy="800100"/>
        </a:xfrm>
        <a:prstGeom prst="roundRect">
          <a:avLst/>
        </a:prstGeom>
        <a:solidFill>
          <a:srgbClr val="00B050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9E120A87-2050-404B-B337-CB1F551DCEAD}" type="TxLink">
            <a:rPr lang="en-US" sz="18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12/24/1995</a:t>
          </a:fld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266700</xdr:colOff>
      <xdr:row>7</xdr:row>
      <xdr:rowOff>83820</xdr:rowOff>
    </xdr:from>
    <xdr:to>
      <xdr:col>2</xdr:col>
      <xdr:colOff>190500</xdr:colOff>
      <xdr:row>9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5A4D101-1B2F-409A-AC80-042B7A8A8953}"/>
            </a:ext>
          </a:extLst>
        </xdr:cNvPr>
        <xdr:cNvSpPr txBox="1"/>
      </xdr:nvSpPr>
      <xdr:spPr>
        <a:xfrm>
          <a:off x="266700" y="1257300"/>
          <a:ext cx="1143000" cy="36576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5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Birth Date</a:t>
          </a:r>
        </a:p>
      </xdr:txBody>
    </xdr:sp>
    <xdr:clientData/>
  </xdr:twoCellAnchor>
  <xdr:twoCellAnchor>
    <xdr:from>
      <xdr:col>2</xdr:col>
      <xdr:colOff>495300</xdr:colOff>
      <xdr:row>5</xdr:row>
      <xdr:rowOff>76200</xdr:rowOff>
    </xdr:from>
    <xdr:to>
      <xdr:col>5</xdr:col>
      <xdr:colOff>152400</xdr:colOff>
      <xdr:row>9</xdr:row>
      <xdr:rowOff>121920</xdr:rowOff>
    </xdr:to>
    <xdr:sp macro="" textlink="Sheet1!B3">
      <xdr:nvSpPr>
        <xdr:cNvPr id="7" name="Rectangle: Rounded Corners 6">
          <a:extLst>
            <a:ext uri="{FF2B5EF4-FFF2-40B4-BE49-F238E27FC236}">
              <a16:creationId xmlns:a16="http://schemas.microsoft.com/office/drawing/2014/main" id="{836BE384-7A30-484E-8A96-3C7EDA32B84F}"/>
            </a:ext>
          </a:extLst>
        </xdr:cNvPr>
        <xdr:cNvSpPr/>
      </xdr:nvSpPr>
      <xdr:spPr>
        <a:xfrm>
          <a:off x="1714500" y="914400"/>
          <a:ext cx="1485900" cy="716280"/>
        </a:xfrm>
        <a:prstGeom prst="roundRect">
          <a:avLst/>
        </a:prstGeom>
        <a:solidFill>
          <a:srgbClr val="00B050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354ADA18-4206-45DB-9173-9A5DE0E821E7}" type="TxLink">
            <a:rPr lang="en-US" sz="18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30</a:t>
          </a:fld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91440</xdr:colOff>
      <xdr:row>10</xdr:row>
      <xdr:rowOff>91440</xdr:rowOff>
    </xdr:from>
    <xdr:to>
      <xdr:col>2</xdr:col>
      <xdr:colOff>518160</xdr:colOff>
      <xdr:row>16</xdr:row>
      <xdr:rowOff>76200</xdr:rowOff>
    </xdr:to>
    <xdr:sp macro="" textlink="APY!E33">
      <xdr:nvSpPr>
        <xdr:cNvPr id="8" name="Rectangle: Rounded Corners 7">
          <a:extLst>
            <a:ext uri="{FF2B5EF4-FFF2-40B4-BE49-F238E27FC236}">
              <a16:creationId xmlns:a16="http://schemas.microsoft.com/office/drawing/2014/main" id="{0D6367C2-C8BE-4653-A3AA-FAE07970ED77}"/>
            </a:ext>
          </a:extLst>
        </xdr:cNvPr>
        <xdr:cNvSpPr/>
      </xdr:nvSpPr>
      <xdr:spPr>
        <a:xfrm>
          <a:off x="91440" y="1767840"/>
          <a:ext cx="1645920" cy="990600"/>
        </a:xfrm>
        <a:prstGeom prst="roundRect">
          <a:avLst/>
        </a:prstGeom>
        <a:solidFill>
          <a:srgbClr val="00B050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880FA6FA-D314-415A-BC08-DB263358D9D6}" type="TxLink">
            <a:rPr lang="en-US" sz="18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485</a:t>
          </a:fld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236220</xdr:colOff>
      <xdr:row>5</xdr:row>
      <xdr:rowOff>68580</xdr:rowOff>
    </xdr:from>
    <xdr:to>
      <xdr:col>8</xdr:col>
      <xdr:colOff>259080</xdr:colOff>
      <xdr:row>9</xdr:row>
      <xdr:rowOff>137160</xdr:rowOff>
    </xdr:to>
    <xdr:sp macro="" textlink="Sheet1!B4">
      <xdr:nvSpPr>
        <xdr:cNvPr id="9" name="Rectangle: Rounded Corners 8">
          <a:extLst>
            <a:ext uri="{FF2B5EF4-FFF2-40B4-BE49-F238E27FC236}">
              <a16:creationId xmlns:a16="http://schemas.microsoft.com/office/drawing/2014/main" id="{E3DD1884-C9D3-4A82-9E1B-C8AA4D28C6B1}"/>
            </a:ext>
          </a:extLst>
        </xdr:cNvPr>
        <xdr:cNvSpPr/>
      </xdr:nvSpPr>
      <xdr:spPr>
        <a:xfrm>
          <a:off x="3284220" y="906780"/>
          <a:ext cx="1851660" cy="739140"/>
        </a:xfrm>
        <a:prstGeom prst="roundRect">
          <a:avLst/>
        </a:prstGeom>
        <a:solidFill>
          <a:srgbClr val="00B050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865ED50-60B7-4DF0-8C7E-5B4AB7525959}" type="TxLink">
            <a:rPr lang="en-US" sz="18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30</a:t>
          </a:fld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7620</xdr:colOff>
      <xdr:row>10</xdr:row>
      <xdr:rowOff>99060</xdr:rowOff>
    </xdr:from>
    <xdr:to>
      <xdr:col>5</xdr:col>
      <xdr:colOff>342900</xdr:colOff>
      <xdr:row>16</xdr:row>
      <xdr:rowOff>22860</xdr:rowOff>
    </xdr:to>
    <xdr:sp macro="" textlink="APY!F33">
      <xdr:nvSpPr>
        <xdr:cNvPr id="10" name="Rectangle: Rounded Corners 9">
          <a:extLst>
            <a:ext uri="{FF2B5EF4-FFF2-40B4-BE49-F238E27FC236}">
              <a16:creationId xmlns:a16="http://schemas.microsoft.com/office/drawing/2014/main" id="{93B9CDA2-840C-48AB-8512-38A308FD12C2}"/>
            </a:ext>
          </a:extLst>
        </xdr:cNvPr>
        <xdr:cNvSpPr/>
      </xdr:nvSpPr>
      <xdr:spPr>
        <a:xfrm>
          <a:off x="1836420" y="1775460"/>
          <a:ext cx="1554480" cy="929640"/>
        </a:xfrm>
        <a:prstGeom prst="roundRect">
          <a:avLst/>
        </a:prstGeom>
        <a:solidFill>
          <a:srgbClr val="00B050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2BA89B3E-92EC-4554-9BA5-F8EB2604EB24}" type="TxLink">
            <a:rPr lang="en-US" sz="18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1445</a:t>
          </a:fld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449580</xdr:colOff>
      <xdr:row>10</xdr:row>
      <xdr:rowOff>99060</xdr:rowOff>
    </xdr:from>
    <xdr:to>
      <xdr:col>8</xdr:col>
      <xdr:colOff>213360</xdr:colOff>
      <xdr:row>16</xdr:row>
      <xdr:rowOff>0</xdr:rowOff>
    </xdr:to>
    <xdr:sp macro="" textlink="APY!G33">
      <xdr:nvSpPr>
        <xdr:cNvPr id="11" name="Rectangle: Rounded Corners 10">
          <a:extLst>
            <a:ext uri="{FF2B5EF4-FFF2-40B4-BE49-F238E27FC236}">
              <a16:creationId xmlns:a16="http://schemas.microsoft.com/office/drawing/2014/main" id="{4C9F2715-3D20-485E-8FE8-DAE12AD7749A}"/>
            </a:ext>
          </a:extLst>
        </xdr:cNvPr>
        <xdr:cNvSpPr/>
      </xdr:nvSpPr>
      <xdr:spPr>
        <a:xfrm>
          <a:off x="3497580" y="1775460"/>
          <a:ext cx="1592580" cy="906780"/>
        </a:xfrm>
        <a:prstGeom prst="roundRect">
          <a:avLst/>
        </a:prstGeom>
        <a:solidFill>
          <a:srgbClr val="00B050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4533E92A-056D-4758-9059-84640E1830EC}" type="TxLink">
            <a:rPr lang="en-US" sz="18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2862</a:t>
          </a:fld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541020</xdr:colOff>
      <xdr:row>7</xdr:row>
      <xdr:rowOff>53340</xdr:rowOff>
    </xdr:from>
    <xdr:to>
      <xdr:col>5</xdr:col>
      <xdr:colOff>91440</xdr:colOff>
      <xdr:row>8</xdr:row>
      <xdr:rowOff>152400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6E9D098-AACB-485B-B2E6-EF0DDDF06BDF}"/>
            </a:ext>
          </a:extLst>
        </xdr:cNvPr>
        <xdr:cNvSpPr txBox="1"/>
      </xdr:nvSpPr>
      <xdr:spPr>
        <a:xfrm>
          <a:off x="1760220" y="1226820"/>
          <a:ext cx="1379220" cy="26670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5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Your's</a:t>
          </a:r>
          <a:r>
            <a:rPr lang="en-IN" sz="15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IN" sz="15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Age </a:t>
          </a:r>
        </a:p>
      </xdr:txBody>
    </xdr:sp>
    <xdr:clientData/>
  </xdr:twoCellAnchor>
  <xdr:twoCellAnchor>
    <xdr:from>
      <xdr:col>5</xdr:col>
      <xdr:colOff>472440</xdr:colOff>
      <xdr:row>7</xdr:row>
      <xdr:rowOff>91440</xdr:rowOff>
    </xdr:from>
    <xdr:to>
      <xdr:col>8</xdr:col>
      <xdr:colOff>137160</xdr:colOff>
      <xdr:row>9</xdr:row>
      <xdr:rowOff>15240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453A35E-B0AE-4BE9-A806-35DFE778F9B8}"/>
            </a:ext>
          </a:extLst>
        </xdr:cNvPr>
        <xdr:cNvSpPr txBox="1"/>
      </xdr:nvSpPr>
      <xdr:spPr>
        <a:xfrm>
          <a:off x="3520440" y="1264920"/>
          <a:ext cx="1493520" cy="25908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500" b="1">
              <a:solidFill>
                <a:schemeClr val="bg1"/>
              </a:solidFill>
            </a:rPr>
            <a:t>Duration</a:t>
          </a:r>
          <a:r>
            <a:rPr lang="en-IN" sz="1500" b="1" baseline="0">
              <a:solidFill>
                <a:schemeClr val="bg1"/>
              </a:solidFill>
            </a:rPr>
            <a:t> in Yrs</a:t>
          </a:r>
          <a:endParaRPr lang="en-IN" sz="15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152400</xdr:colOff>
      <xdr:row>12</xdr:row>
      <xdr:rowOff>121920</xdr:rowOff>
    </xdr:from>
    <xdr:to>
      <xdr:col>2</xdr:col>
      <xdr:colOff>373380</xdr:colOff>
      <xdr:row>16</xdr:row>
      <xdr:rowOff>53340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0334EB1-8E7D-4629-86E0-20E3A6E5E47D}"/>
            </a:ext>
          </a:extLst>
        </xdr:cNvPr>
        <xdr:cNvSpPr txBox="1"/>
      </xdr:nvSpPr>
      <xdr:spPr>
        <a:xfrm>
          <a:off x="152400" y="2133600"/>
          <a:ext cx="1440180" cy="60198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5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Monthly</a:t>
          </a:r>
          <a:r>
            <a:rPr lang="en-IN" sz="15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algn="ctr"/>
          <a:r>
            <a:rPr lang="en-IN" sz="15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Contribution</a:t>
          </a:r>
          <a:endParaRPr lang="en-IN" sz="15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99060</xdr:colOff>
      <xdr:row>12</xdr:row>
      <xdr:rowOff>121920</xdr:rowOff>
    </xdr:from>
    <xdr:to>
      <xdr:col>5</xdr:col>
      <xdr:colOff>220980</xdr:colOff>
      <xdr:row>16</xdr:row>
      <xdr:rowOff>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5662037-2FCA-4BB4-860A-7A1F5D17BF10}"/>
            </a:ext>
          </a:extLst>
        </xdr:cNvPr>
        <xdr:cNvSpPr txBox="1"/>
      </xdr:nvSpPr>
      <xdr:spPr>
        <a:xfrm>
          <a:off x="1927860" y="2133600"/>
          <a:ext cx="1341120" cy="54864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5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Quarterly</a:t>
          </a:r>
        </a:p>
        <a:p>
          <a:pPr algn="ctr"/>
          <a:r>
            <a:rPr lang="en-IN" sz="15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Contribution</a:t>
          </a:r>
        </a:p>
      </xdr:txBody>
    </xdr:sp>
    <xdr:clientData/>
  </xdr:twoCellAnchor>
  <xdr:twoCellAnchor>
    <xdr:from>
      <xdr:col>6</xdr:col>
      <xdr:colOff>45720</xdr:colOff>
      <xdr:row>12</xdr:row>
      <xdr:rowOff>99060</xdr:rowOff>
    </xdr:from>
    <xdr:to>
      <xdr:col>8</xdr:col>
      <xdr:colOff>91440</xdr:colOff>
      <xdr:row>15</xdr:row>
      <xdr:rowOff>160020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0BFA6FE-1D63-4D0A-B8A4-F163975190E8}"/>
            </a:ext>
          </a:extLst>
        </xdr:cNvPr>
        <xdr:cNvSpPr txBox="1"/>
      </xdr:nvSpPr>
      <xdr:spPr>
        <a:xfrm>
          <a:off x="3703320" y="2110740"/>
          <a:ext cx="1264920" cy="56388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5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Half Yearly</a:t>
          </a:r>
          <a:r>
            <a:rPr lang="en-IN" sz="15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r>
            <a:rPr lang="en-IN" sz="15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Contribution</a:t>
          </a:r>
          <a:endParaRPr lang="en-IN" sz="15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350520</xdr:colOff>
      <xdr:row>0</xdr:row>
      <xdr:rowOff>106680</xdr:rowOff>
    </xdr:from>
    <xdr:to>
      <xdr:col>14</xdr:col>
      <xdr:colOff>213360</xdr:colOff>
      <xdr:row>15</xdr:row>
      <xdr:rowOff>121920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5A5E791-C288-47AE-A47C-18189BD92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297180</xdr:colOff>
      <xdr:row>16</xdr:row>
      <xdr:rowOff>38100</xdr:rowOff>
    </xdr:from>
    <xdr:to>
      <xdr:col>14</xdr:col>
      <xdr:colOff>236220</xdr:colOff>
      <xdr:row>28</xdr:row>
      <xdr:rowOff>121920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8DAA1FA-1831-43FE-A6F3-E87F24ECF3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60960</xdr:colOff>
      <xdr:row>16</xdr:row>
      <xdr:rowOff>99060</xdr:rowOff>
    </xdr:from>
    <xdr:to>
      <xdr:col>8</xdr:col>
      <xdr:colOff>190500</xdr:colOff>
      <xdr:row>28</xdr:row>
      <xdr:rowOff>38100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B006436-691F-48E1-810D-B421D2622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152400</xdr:colOff>
      <xdr:row>16</xdr:row>
      <xdr:rowOff>144780</xdr:rowOff>
    </xdr:from>
    <xdr:to>
      <xdr:col>2</xdr:col>
      <xdr:colOff>487680</xdr:colOff>
      <xdr:row>23</xdr:row>
      <xdr:rowOff>0</xdr:rowOff>
    </xdr:to>
    <xdr:sp macro="" textlink="Sheet1!N16">
      <xdr:nvSpPr>
        <xdr:cNvPr id="20" name="Rectangle: Rounded Corners 19">
          <a:extLst>
            <a:ext uri="{FF2B5EF4-FFF2-40B4-BE49-F238E27FC236}">
              <a16:creationId xmlns:a16="http://schemas.microsoft.com/office/drawing/2014/main" id="{C104B939-3AD4-404E-B3F8-0288C53A0F9E}"/>
            </a:ext>
          </a:extLst>
        </xdr:cNvPr>
        <xdr:cNvSpPr/>
      </xdr:nvSpPr>
      <xdr:spPr>
        <a:xfrm>
          <a:off x="152400" y="2827020"/>
          <a:ext cx="1554480" cy="1028700"/>
        </a:xfrm>
        <a:prstGeom prst="roundRect">
          <a:avLst/>
        </a:prstGeom>
        <a:solidFill>
          <a:srgbClr val="00B050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85A41F97-3005-4C1F-8972-317F0FF4DBC4}" type="TxLink">
            <a:rPr lang="en-US" sz="1800" b="0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12.5</a:t>
          </a:fld>
          <a:endParaRPr lang="en-IN" sz="18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243840</xdr:colOff>
      <xdr:row>19</xdr:row>
      <xdr:rowOff>68580</xdr:rowOff>
    </xdr:from>
    <xdr:to>
      <xdr:col>2</xdr:col>
      <xdr:colOff>396240</xdr:colOff>
      <xdr:row>22</xdr:row>
      <xdr:rowOff>99060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B8BDE30-E881-4DC4-B38C-6CC233F5FC52}"/>
            </a:ext>
          </a:extLst>
        </xdr:cNvPr>
        <xdr:cNvSpPr txBox="1"/>
      </xdr:nvSpPr>
      <xdr:spPr>
        <a:xfrm>
          <a:off x="243840" y="3253740"/>
          <a:ext cx="1371600" cy="53340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5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Year </a:t>
          </a:r>
        </a:p>
        <a:p>
          <a:pPr algn="ctr"/>
          <a:r>
            <a:rPr lang="en-IN" sz="15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Invested</a:t>
          </a:r>
        </a:p>
        <a:p>
          <a:pPr algn="ctr"/>
          <a:endParaRPr lang="en-IN" sz="15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175260</xdr:colOff>
      <xdr:row>23</xdr:row>
      <xdr:rowOff>68580</xdr:rowOff>
    </xdr:from>
    <xdr:to>
      <xdr:col>2</xdr:col>
      <xdr:colOff>472440</xdr:colOff>
      <xdr:row>28</xdr:row>
      <xdr:rowOff>137160</xdr:rowOff>
    </xdr:to>
    <xdr:sp macro="" textlink="Sheet1!N17">
      <xdr:nvSpPr>
        <xdr:cNvPr id="24" name="Rectangle: Rounded Corners 23">
          <a:extLst>
            <a:ext uri="{FF2B5EF4-FFF2-40B4-BE49-F238E27FC236}">
              <a16:creationId xmlns:a16="http://schemas.microsoft.com/office/drawing/2014/main" id="{630501CB-B1A3-4B99-937E-78AF0A10F571}"/>
            </a:ext>
          </a:extLst>
        </xdr:cNvPr>
        <xdr:cNvSpPr/>
      </xdr:nvSpPr>
      <xdr:spPr>
        <a:xfrm>
          <a:off x="175260" y="3924300"/>
          <a:ext cx="1516380" cy="906780"/>
        </a:xfrm>
        <a:prstGeom prst="roundRect">
          <a:avLst/>
        </a:prstGeom>
        <a:solidFill>
          <a:srgbClr val="00B050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3E06FF76-262C-4A34-AA94-D9004649A829}" type="TxLink">
            <a:rPr lang="en-US" sz="1800" b="0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17.5</a:t>
          </a:fld>
          <a:endParaRPr lang="en-IN" sz="18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243840</xdr:colOff>
      <xdr:row>25</xdr:row>
      <xdr:rowOff>137160</xdr:rowOff>
    </xdr:from>
    <xdr:to>
      <xdr:col>2</xdr:col>
      <xdr:colOff>388620</xdr:colOff>
      <xdr:row>28</xdr:row>
      <xdr:rowOff>53340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B872A7D-918D-4B06-9EA8-855CDD0DB0C4}"/>
            </a:ext>
          </a:extLst>
        </xdr:cNvPr>
        <xdr:cNvSpPr txBox="1"/>
      </xdr:nvSpPr>
      <xdr:spPr>
        <a:xfrm>
          <a:off x="243840" y="4328160"/>
          <a:ext cx="1363980" cy="41910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5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Years</a:t>
          </a:r>
          <a:r>
            <a:rPr lang="en-IN" sz="15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Remain</a:t>
          </a:r>
          <a:endParaRPr lang="en-IN" sz="15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342900</xdr:colOff>
      <xdr:row>0</xdr:row>
      <xdr:rowOff>76200</xdr:rowOff>
    </xdr:from>
    <xdr:to>
      <xdr:col>21</xdr:col>
      <xdr:colOff>426720</xdr:colOff>
      <xdr:row>16</xdr:row>
      <xdr:rowOff>7620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E5F9F7A0-480C-4310-8141-A8AD8827E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312420</xdr:colOff>
      <xdr:row>16</xdr:row>
      <xdr:rowOff>114300</xdr:rowOff>
    </xdr:from>
    <xdr:to>
      <xdr:col>21</xdr:col>
      <xdr:colOff>403860</xdr:colOff>
      <xdr:row>28</xdr:row>
      <xdr:rowOff>91440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42D4656F-E33C-4DF2-BF27-09CB26B26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1077F0-CE1E-4E6F-9C79-02EBAEE8253C}" name="Age" displayName="Age" ref="A5:B27" totalsRowShown="0" headerRowDxfId="41" headerRowBorderDxfId="40" tableBorderDxfId="39" totalsRowBorderDxfId="38">
  <autoFilter ref="A5:B27" xr:uid="{BA1077F0-CE1E-4E6F-9C79-02EBAEE8253C}"/>
  <tableColumns count="2">
    <tableColumn id="1" xr3:uid="{89CBA678-C82D-419D-A59F-99EA51C82F92}" name="Age at entry" dataDxfId="37"/>
    <tableColumn id="2" xr3:uid="{6C045B18-4598-4423-B5AD-0FDD27AD1F14}" name="Vesting period" dataDxfId="3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21BCB1-BC9B-4181-BEF2-47724DCE1D98}" name="monthly" displayName="monthly" ref="AE2:AF7" totalsRowShown="0">
  <autoFilter ref="AE2:AF7" xr:uid="{DC21BCB1-BC9B-4181-BEF2-47724DCE1D98}"/>
  <tableColumns count="2">
    <tableColumn id="1" xr3:uid="{B727CC53-2910-4EF2-95A5-B8428A7A284B}" name="Per Month Income"/>
    <tableColumn id="2" xr3:uid="{6C44C85B-B899-407B-9D03-E518D8ED4207}" name="Returns" dataDxfId="35">
      <calculatedColumnFormula>D3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62A066-702C-42D1-B4C9-E078B4BF414A}" name="five" displayName="five" ref="X5:AA27" totalsRowShown="0" headerRowBorderDxfId="34" tableBorderDxfId="33" totalsRowBorderDxfId="32">
  <autoFilter ref="X5:AA27" xr:uid="{1062A066-702C-42D1-B4C9-E078B4BF414A}"/>
  <tableColumns count="4">
    <tableColumn id="1" xr3:uid="{2933DDF9-8807-4522-AF13-226EF72664BD}" name="Age at entry" dataDxfId="31"/>
    <tableColumn id="2" xr3:uid="{6C8E4D41-B830-4051-BDF6-825773BB8749}" name="Monthly" dataDxfId="30"/>
    <tableColumn id="3" xr3:uid="{67858FCC-138A-4214-BE1F-4AFB501FD986}" name="Quarterly" dataDxfId="29"/>
    <tableColumn id="4" xr3:uid="{8F3F361E-02F8-4ECC-88D7-A6BD29FABA1C}" name="Half Yearly" dataDxfId="2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3D91A8-B1AE-4DBB-885D-F2BB890E2A2A}" name="one" displayName="one" ref="D5:G27" totalsRowShown="0" headerRowBorderDxfId="27" tableBorderDxfId="26" totalsRowBorderDxfId="25">
  <autoFilter ref="D5:G27" xr:uid="{623D91A8-B1AE-4DBB-885D-F2BB890E2A2A}"/>
  <tableColumns count="4">
    <tableColumn id="1" xr3:uid="{1271A27A-7973-40B8-8F47-5CB8A1FAD785}" name="Age at entry" dataDxfId="24"/>
    <tableColumn id="2" xr3:uid="{684602B6-D6E7-44CF-AA83-DFE334BED0C3}" name="Monthly" dataDxfId="23"/>
    <tableColumn id="3" xr3:uid="{B60030D3-990F-48A3-B3E5-881CB7FF5725}" name="Quarterly" dataDxfId="22"/>
    <tableColumn id="4" xr3:uid="{F2489DCA-F2B5-4EAD-8E04-093548627F48}" name="Half Yearly" dataDxfId="2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A61FD5D-E274-46B8-AE04-7A06512A74BF}" name="two" displayName="two" ref="I5:L27" totalsRowShown="0" headerRowBorderDxfId="20" tableBorderDxfId="19" totalsRowBorderDxfId="18">
  <autoFilter ref="I5:L27" xr:uid="{1A61FD5D-E274-46B8-AE04-7A06512A74BF}"/>
  <tableColumns count="4">
    <tableColumn id="1" xr3:uid="{38A2E744-4FD5-4557-83DC-BA5934FD7D41}" name="Age at entry" dataDxfId="17"/>
    <tableColumn id="2" xr3:uid="{EC2C2094-F27C-4BEB-B583-C2265EEE8D1C}" name="Monthly" dataDxfId="16"/>
    <tableColumn id="3" xr3:uid="{7A687312-F380-485E-9371-21D8DC8AD66A}" name="Quarterly" dataDxfId="15"/>
    <tableColumn id="4" xr3:uid="{775A6E64-C44F-40F5-BD55-3153E4CF1E09}" name="Half Yearly" dataDxfId="1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DAEAB2-EF21-413F-B73A-2463916C05DF}" name="three" displayName="three" ref="N5:Q27" totalsRowShown="0" headerRowBorderDxfId="13" tableBorderDxfId="12" totalsRowBorderDxfId="11">
  <autoFilter ref="N5:Q27" xr:uid="{09DAEAB2-EF21-413F-B73A-2463916C05DF}"/>
  <tableColumns count="4">
    <tableColumn id="1" xr3:uid="{610AC797-8FAF-4E33-AF0A-07F5DB5E5050}" name="Age at entry" dataDxfId="10"/>
    <tableColumn id="2" xr3:uid="{C3F4B575-5FC7-4B51-8640-CC3B2DA0409A}" name="Monthly" dataDxfId="9"/>
    <tableColumn id="3" xr3:uid="{EF290DB6-0786-4D9E-848D-4221D2F4DC0D}" name="Quarterly" dataDxfId="8"/>
    <tableColumn id="4" xr3:uid="{D0A0AC78-AC7B-40E0-9707-DFDF81F0CEAB}" name="Half Yearly" dataDxfId="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B6B62AE-D5B2-4703-B7AD-916AEC6C5268}" name="four" displayName="four" ref="S5:V27" totalsRowShown="0" headerRowBorderDxfId="6" tableBorderDxfId="5" totalsRowBorderDxfId="4">
  <autoFilter ref="S5:V27" xr:uid="{4B6B62AE-D5B2-4703-B7AD-916AEC6C5268}"/>
  <tableColumns count="4">
    <tableColumn id="1" xr3:uid="{7956A5BF-853A-4E44-AE2B-6491353EB6B7}" name="Age at entry" dataDxfId="3"/>
    <tableColumn id="2" xr3:uid="{B86ED403-3AEA-451F-8057-947D4B52AE7B}" name="Monthly" dataDxfId="2"/>
    <tableColumn id="3" xr3:uid="{B8DDEC5B-80F2-4FF0-9A1C-FE3209BDB636}" name="Quarterly" dataDxfId="1"/>
    <tableColumn id="4" xr3:uid="{7BBD72C2-D741-45A6-92E9-90F9A52C16E3}" name="Half Yearly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9"/>
  <sheetViews>
    <sheetView topLeftCell="A25" zoomScale="160" zoomScaleNormal="160" workbookViewId="0">
      <selection activeCell="E40" sqref="E40"/>
    </sheetView>
  </sheetViews>
  <sheetFormatPr defaultRowHeight="13.2" x14ac:dyDescent="0.25"/>
  <cols>
    <col min="1" max="1" width="10.44140625" customWidth="1"/>
    <col min="2" max="2" width="11.77734375" customWidth="1"/>
    <col min="3" max="3" width="9.5546875" style="4" customWidth="1"/>
    <col min="4" max="4" width="10.44140625" style="4" customWidth="1"/>
    <col min="5" max="7" width="10" customWidth="1"/>
    <col min="8" max="8" width="10" style="10" customWidth="1"/>
    <col min="9" max="9" width="10.44140625" style="10" customWidth="1"/>
    <col min="10" max="12" width="10" customWidth="1"/>
    <col min="13" max="13" width="10" style="4" customWidth="1"/>
    <col min="14" max="14" width="10.44140625" style="4" customWidth="1"/>
    <col min="15" max="15" width="10" customWidth="1"/>
    <col min="16" max="16" width="10.21875" customWidth="1"/>
    <col min="17" max="17" width="10" customWidth="1"/>
    <col min="18" max="18" width="10" style="4" customWidth="1"/>
    <col min="19" max="19" width="10.44140625" style="4" customWidth="1"/>
    <col min="20" max="22" width="10" customWidth="1"/>
    <col min="23" max="23" width="10" style="4" customWidth="1"/>
    <col min="24" max="24" width="10.44140625" style="4" customWidth="1"/>
    <col min="25" max="27" width="10" customWidth="1"/>
    <col min="31" max="31" width="17" customWidth="1"/>
    <col min="32" max="32" width="14.77734375" customWidth="1"/>
  </cols>
  <sheetData>
    <row r="1" spans="1:34" s="4" customFormat="1" ht="26.7" customHeight="1" x14ac:dyDescent="0.25">
      <c r="A1" s="81"/>
      <c r="B1" s="82"/>
      <c r="C1" s="82"/>
      <c r="D1" s="83"/>
      <c r="E1" s="83"/>
      <c r="F1" s="83"/>
      <c r="G1" s="83"/>
      <c r="H1" s="82"/>
      <c r="I1" s="83"/>
      <c r="J1" s="83"/>
      <c r="K1" s="83"/>
      <c r="L1" s="83"/>
      <c r="M1" s="82"/>
      <c r="N1" s="83"/>
      <c r="O1" s="83"/>
      <c r="P1" s="83"/>
      <c r="Q1" s="83"/>
      <c r="R1" s="82"/>
      <c r="S1" s="83"/>
      <c r="T1" s="83"/>
      <c r="U1" s="83"/>
      <c r="V1" s="83"/>
      <c r="W1" s="82"/>
      <c r="X1" s="82"/>
      <c r="Y1" s="82"/>
      <c r="Z1" s="82"/>
      <c r="AA1" s="84"/>
    </row>
    <row r="2" spans="1:34" ht="27.75" customHeight="1" x14ac:dyDescent="0.25">
      <c r="A2" s="85"/>
      <c r="B2" s="86"/>
      <c r="C2" s="11"/>
      <c r="D2" s="87" t="s">
        <v>0</v>
      </c>
      <c r="E2" s="87"/>
      <c r="F2" s="87"/>
      <c r="G2" s="88"/>
      <c r="H2" s="7"/>
      <c r="I2" s="87" t="s">
        <v>1</v>
      </c>
      <c r="J2" s="87"/>
      <c r="K2" s="87"/>
      <c r="L2" s="88"/>
      <c r="M2" s="2"/>
      <c r="N2" s="87" t="s">
        <v>2</v>
      </c>
      <c r="O2" s="87"/>
      <c r="P2" s="87"/>
      <c r="Q2" s="88"/>
      <c r="R2" s="2"/>
      <c r="S2" s="87" t="s">
        <v>3</v>
      </c>
      <c r="T2" s="87"/>
      <c r="U2" s="87"/>
      <c r="V2" s="88"/>
      <c r="W2" s="2"/>
      <c r="X2" s="89" t="s">
        <v>4</v>
      </c>
      <c r="Y2" s="89"/>
      <c r="Z2" s="89"/>
      <c r="AA2" s="90"/>
      <c r="AE2" t="s">
        <v>21</v>
      </c>
      <c r="AF2" t="s">
        <v>22</v>
      </c>
    </row>
    <row r="3" spans="1:34" ht="30.3" customHeight="1" x14ac:dyDescent="0.25">
      <c r="A3" s="91" t="s">
        <v>5</v>
      </c>
      <c r="B3" s="92"/>
      <c r="C3" s="12"/>
      <c r="D3" s="93" t="s">
        <v>6</v>
      </c>
      <c r="E3" s="93"/>
      <c r="F3" s="93"/>
      <c r="G3" s="94"/>
      <c r="H3" s="8"/>
      <c r="I3" s="95" t="s">
        <v>20</v>
      </c>
      <c r="J3" s="95"/>
      <c r="K3" s="95"/>
      <c r="L3" s="96"/>
      <c r="M3" s="3"/>
      <c r="N3" s="95" t="s">
        <v>19</v>
      </c>
      <c r="O3" s="95"/>
      <c r="P3" s="95"/>
      <c r="Q3" s="96"/>
      <c r="R3" s="3"/>
      <c r="S3" s="95" t="s">
        <v>18</v>
      </c>
      <c r="T3" s="95"/>
      <c r="U3" s="95"/>
      <c r="V3" s="95"/>
      <c r="W3" s="24"/>
      <c r="X3" s="97" t="s">
        <v>17</v>
      </c>
      <c r="Y3" s="97"/>
      <c r="Z3" s="97"/>
      <c r="AA3" s="98"/>
      <c r="AE3">
        <v>1000</v>
      </c>
      <c r="AF3" t="str">
        <f t="shared" ref="AF3" si="0">D3</f>
        <v>Rs. 1.7 Lakh</v>
      </c>
      <c r="AH3" s="68" t="str">
        <f>VLOOKUP(Dashboard1!N4,monthly[],2,1)</f>
        <v>Rs. 8.5 Lakhs</v>
      </c>
    </row>
    <row r="4" spans="1:34" ht="24" customHeight="1" x14ac:dyDescent="0.25">
      <c r="A4" s="1"/>
      <c r="B4" s="1"/>
      <c r="C4" s="13"/>
      <c r="D4" s="77" t="s">
        <v>12</v>
      </c>
      <c r="E4" s="77"/>
      <c r="F4" s="77"/>
      <c r="G4" s="77"/>
      <c r="H4" s="9"/>
      <c r="I4" s="77" t="s">
        <v>13</v>
      </c>
      <c r="J4" s="77"/>
      <c r="K4" s="77"/>
      <c r="L4" s="77"/>
      <c r="M4" s="6"/>
      <c r="N4" s="77" t="s">
        <v>14</v>
      </c>
      <c r="O4" s="77"/>
      <c r="P4" s="77"/>
      <c r="Q4" s="77"/>
      <c r="R4" s="6"/>
      <c r="S4" s="77" t="s">
        <v>15</v>
      </c>
      <c r="T4" s="77"/>
      <c r="U4" s="77"/>
      <c r="V4" s="77"/>
      <c r="W4" s="5"/>
      <c r="X4" s="78" t="s">
        <v>16</v>
      </c>
      <c r="Y4" s="79"/>
      <c r="Z4" s="79"/>
      <c r="AA4" s="80"/>
      <c r="AE4">
        <v>2000</v>
      </c>
      <c r="AF4" t="str">
        <f>I3</f>
        <v>Rs. 3.4 Lakhs</v>
      </c>
    </row>
    <row r="5" spans="1:34" ht="26.7" customHeight="1" x14ac:dyDescent="0.25">
      <c r="A5" s="26" t="s">
        <v>7</v>
      </c>
      <c r="B5" s="29" t="s">
        <v>8</v>
      </c>
      <c r="C5" s="20"/>
      <c r="D5" s="40" t="s">
        <v>7</v>
      </c>
      <c r="E5" s="45" t="s">
        <v>9</v>
      </c>
      <c r="F5" s="46" t="s">
        <v>10</v>
      </c>
      <c r="G5" s="47" t="s">
        <v>11</v>
      </c>
      <c r="H5" s="21"/>
      <c r="I5" s="40" t="s">
        <v>7</v>
      </c>
      <c r="J5" s="51" t="s">
        <v>9</v>
      </c>
      <c r="K5" s="52" t="s">
        <v>10</v>
      </c>
      <c r="L5" s="53" t="s">
        <v>11</v>
      </c>
      <c r="M5" s="16"/>
      <c r="N5" s="40" t="s">
        <v>7</v>
      </c>
      <c r="O5" s="57" t="s">
        <v>9</v>
      </c>
      <c r="P5" s="58" t="s">
        <v>10</v>
      </c>
      <c r="Q5" s="59" t="s">
        <v>11</v>
      </c>
      <c r="R5" s="16"/>
      <c r="S5" s="40" t="s">
        <v>7</v>
      </c>
      <c r="T5" s="63" t="s">
        <v>9</v>
      </c>
      <c r="U5" s="64" t="s">
        <v>10</v>
      </c>
      <c r="V5" s="65" t="s">
        <v>11</v>
      </c>
      <c r="W5" s="16"/>
      <c r="X5" s="40" t="s">
        <v>7</v>
      </c>
      <c r="Y5" s="41" t="s">
        <v>9</v>
      </c>
      <c r="Z5" s="42" t="s">
        <v>10</v>
      </c>
      <c r="AA5" s="43" t="s">
        <v>11</v>
      </c>
      <c r="AE5">
        <v>3000</v>
      </c>
      <c r="AF5" t="str">
        <f>N3</f>
        <v>Rs. 5.1 Lakhs</v>
      </c>
    </row>
    <row r="6" spans="1:34" ht="13.95" customHeight="1" x14ac:dyDescent="0.25">
      <c r="A6" s="27">
        <v>18</v>
      </c>
      <c r="B6" s="30">
        <v>42</v>
      </c>
      <c r="C6" s="14"/>
      <c r="D6" s="34">
        <v>18</v>
      </c>
      <c r="E6" s="23">
        <v>42</v>
      </c>
      <c r="F6" s="23">
        <v>125</v>
      </c>
      <c r="G6" s="44">
        <v>248</v>
      </c>
      <c r="H6" s="22"/>
      <c r="I6" s="34">
        <v>18</v>
      </c>
      <c r="J6" s="19">
        <v>84</v>
      </c>
      <c r="K6" s="19">
        <v>250</v>
      </c>
      <c r="L6" s="50">
        <v>496</v>
      </c>
      <c r="M6" s="17"/>
      <c r="N6" s="34">
        <v>18</v>
      </c>
      <c r="O6" s="18">
        <v>126</v>
      </c>
      <c r="P6" s="18">
        <v>376</v>
      </c>
      <c r="Q6" s="56">
        <v>744</v>
      </c>
      <c r="R6" s="17"/>
      <c r="S6" s="34">
        <v>18</v>
      </c>
      <c r="T6" s="15">
        <v>168</v>
      </c>
      <c r="U6" s="15">
        <v>501</v>
      </c>
      <c r="V6" s="62">
        <v>991</v>
      </c>
      <c r="W6" s="17"/>
      <c r="X6" s="34">
        <v>18</v>
      </c>
      <c r="Y6" s="25">
        <v>210</v>
      </c>
      <c r="Z6" s="25">
        <v>626</v>
      </c>
      <c r="AA6" s="36">
        <v>1239</v>
      </c>
      <c r="AE6">
        <v>4000</v>
      </c>
      <c r="AF6" t="str">
        <f>S3</f>
        <v>Rs. 6.8 Lakhs</v>
      </c>
    </row>
    <row r="7" spans="1:34" ht="13.95" customHeight="1" x14ac:dyDescent="0.25">
      <c r="A7" s="27">
        <v>19</v>
      </c>
      <c r="B7" s="30">
        <v>41</v>
      </c>
      <c r="C7" s="14"/>
      <c r="D7" s="34">
        <v>19</v>
      </c>
      <c r="E7" s="23">
        <v>46</v>
      </c>
      <c r="F7" s="23">
        <v>137</v>
      </c>
      <c r="G7" s="44">
        <v>271</v>
      </c>
      <c r="H7" s="22"/>
      <c r="I7" s="34">
        <v>19</v>
      </c>
      <c r="J7" s="19">
        <v>92</v>
      </c>
      <c r="K7" s="19">
        <v>274</v>
      </c>
      <c r="L7" s="50">
        <v>543</v>
      </c>
      <c r="M7" s="17"/>
      <c r="N7" s="34">
        <v>19</v>
      </c>
      <c r="O7" s="18">
        <v>138</v>
      </c>
      <c r="P7" s="18">
        <v>411</v>
      </c>
      <c r="Q7" s="56">
        <v>814</v>
      </c>
      <c r="R7" s="17"/>
      <c r="S7" s="34">
        <v>19</v>
      </c>
      <c r="T7" s="15">
        <v>183</v>
      </c>
      <c r="U7" s="15">
        <v>545</v>
      </c>
      <c r="V7" s="62">
        <v>1080</v>
      </c>
      <c r="W7" s="17"/>
      <c r="X7" s="34">
        <v>19</v>
      </c>
      <c r="Y7" s="25">
        <v>228</v>
      </c>
      <c r="Z7" s="25">
        <v>679</v>
      </c>
      <c r="AA7" s="36">
        <v>1346</v>
      </c>
      <c r="AE7">
        <v>5000</v>
      </c>
      <c r="AF7" t="str">
        <f>X3</f>
        <v>Rs. 8.5 Lakhs</v>
      </c>
    </row>
    <row r="8" spans="1:34" ht="13.95" customHeight="1" x14ac:dyDescent="0.25">
      <c r="A8" s="28">
        <v>20</v>
      </c>
      <c r="B8" s="31">
        <v>40</v>
      </c>
      <c r="C8" s="14"/>
      <c r="D8" s="35">
        <v>20</v>
      </c>
      <c r="E8" s="23">
        <v>50</v>
      </c>
      <c r="F8" s="23">
        <v>149</v>
      </c>
      <c r="G8" s="44">
        <v>295</v>
      </c>
      <c r="H8" s="22"/>
      <c r="I8" s="35">
        <v>20</v>
      </c>
      <c r="J8" s="19">
        <v>100</v>
      </c>
      <c r="K8" s="19">
        <v>298</v>
      </c>
      <c r="L8" s="50">
        <v>590</v>
      </c>
      <c r="M8" s="17"/>
      <c r="N8" s="35">
        <v>20</v>
      </c>
      <c r="O8" s="18">
        <v>150</v>
      </c>
      <c r="P8" s="18">
        <v>447</v>
      </c>
      <c r="Q8" s="56">
        <v>885</v>
      </c>
      <c r="R8" s="17"/>
      <c r="S8" s="35">
        <v>20</v>
      </c>
      <c r="T8" s="15">
        <v>198</v>
      </c>
      <c r="U8" s="15">
        <v>590</v>
      </c>
      <c r="V8" s="62">
        <v>1169</v>
      </c>
      <c r="W8" s="17"/>
      <c r="X8" s="35">
        <v>20</v>
      </c>
      <c r="Y8" s="25">
        <v>248</v>
      </c>
      <c r="Z8" s="25">
        <v>739</v>
      </c>
      <c r="AA8" s="36">
        <v>1464</v>
      </c>
    </row>
    <row r="9" spans="1:34" ht="13.95" customHeight="1" x14ac:dyDescent="0.25">
      <c r="A9" s="28">
        <v>21</v>
      </c>
      <c r="B9" s="31">
        <v>39</v>
      </c>
      <c r="C9" s="14"/>
      <c r="D9" s="35">
        <v>21</v>
      </c>
      <c r="E9" s="23">
        <v>54</v>
      </c>
      <c r="F9" s="23">
        <v>161</v>
      </c>
      <c r="G9" s="44">
        <v>319</v>
      </c>
      <c r="H9" s="22"/>
      <c r="I9" s="35">
        <v>21</v>
      </c>
      <c r="J9" s="19">
        <v>108</v>
      </c>
      <c r="K9" s="19">
        <v>322</v>
      </c>
      <c r="L9" s="50">
        <v>637</v>
      </c>
      <c r="M9" s="17"/>
      <c r="N9" s="35">
        <v>21</v>
      </c>
      <c r="O9" s="18">
        <v>162</v>
      </c>
      <c r="P9" s="18">
        <v>483</v>
      </c>
      <c r="Q9" s="56">
        <v>956</v>
      </c>
      <c r="R9" s="17"/>
      <c r="S9" s="35">
        <v>21</v>
      </c>
      <c r="T9" s="15">
        <v>215</v>
      </c>
      <c r="U9" s="15">
        <v>641</v>
      </c>
      <c r="V9" s="62">
        <v>1269</v>
      </c>
      <c r="W9" s="17"/>
      <c r="X9" s="35">
        <v>21</v>
      </c>
      <c r="Y9" s="25">
        <v>269</v>
      </c>
      <c r="Z9" s="25">
        <v>802</v>
      </c>
      <c r="AA9" s="36">
        <v>1588</v>
      </c>
    </row>
    <row r="10" spans="1:34" ht="13.95" customHeight="1" x14ac:dyDescent="0.25">
      <c r="A10" s="28">
        <v>22</v>
      </c>
      <c r="B10" s="31">
        <v>38</v>
      </c>
      <c r="C10" s="14"/>
      <c r="D10" s="35">
        <v>22</v>
      </c>
      <c r="E10" s="23">
        <v>59</v>
      </c>
      <c r="F10" s="23">
        <v>176</v>
      </c>
      <c r="G10" s="44">
        <v>348</v>
      </c>
      <c r="H10" s="22"/>
      <c r="I10" s="35">
        <v>22</v>
      </c>
      <c r="J10" s="19">
        <v>117</v>
      </c>
      <c r="K10" s="19">
        <v>349</v>
      </c>
      <c r="L10" s="50">
        <v>690</v>
      </c>
      <c r="M10" s="17"/>
      <c r="N10" s="35">
        <v>22</v>
      </c>
      <c r="O10" s="18">
        <v>177</v>
      </c>
      <c r="P10" s="18">
        <v>527</v>
      </c>
      <c r="Q10" s="56">
        <v>1046</v>
      </c>
      <c r="R10" s="17"/>
      <c r="S10" s="35">
        <v>22</v>
      </c>
      <c r="T10" s="15">
        <v>234</v>
      </c>
      <c r="U10" s="15">
        <v>697</v>
      </c>
      <c r="V10" s="62">
        <v>1381</v>
      </c>
      <c r="W10" s="17"/>
      <c r="X10" s="35">
        <v>22</v>
      </c>
      <c r="Y10" s="25">
        <v>292</v>
      </c>
      <c r="Z10" s="25">
        <v>870</v>
      </c>
      <c r="AA10" s="36">
        <v>1723</v>
      </c>
    </row>
    <row r="11" spans="1:34" ht="13.95" customHeight="1" x14ac:dyDescent="0.25">
      <c r="A11" s="28">
        <v>23</v>
      </c>
      <c r="B11" s="31">
        <v>37</v>
      </c>
      <c r="C11" s="14"/>
      <c r="D11" s="35">
        <v>23</v>
      </c>
      <c r="E11" s="23">
        <v>64</v>
      </c>
      <c r="F11" s="23">
        <v>191</v>
      </c>
      <c r="G11" s="44">
        <v>378</v>
      </c>
      <c r="H11" s="22"/>
      <c r="I11" s="35">
        <v>23</v>
      </c>
      <c r="J11" s="19">
        <v>127</v>
      </c>
      <c r="K11" s="19">
        <v>378</v>
      </c>
      <c r="L11" s="50">
        <v>749</v>
      </c>
      <c r="M11" s="17"/>
      <c r="N11" s="35">
        <v>23</v>
      </c>
      <c r="O11" s="18">
        <v>192</v>
      </c>
      <c r="P11" s="18">
        <v>572</v>
      </c>
      <c r="Q11" s="56">
        <v>1133</v>
      </c>
      <c r="R11" s="17"/>
      <c r="S11" s="35">
        <v>23</v>
      </c>
      <c r="T11" s="15">
        <v>254</v>
      </c>
      <c r="U11" s="15">
        <v>757</v>
      </c>
      <c r="V11" s="62">
        <v>1499</v>
      </c>
      <c r="W11" s="17"/>
      <c r="X11" s="35">
        <v>23</v>
      </c>
      <c r="Y11" s="25">
        <v>318</v>
      </c>
      <c r="Z11" s="25">
        <v>948</v>
      </c>
      <c r="AA11" s="36">
        <v>1877</v>
      </c>
    </row>
    <row r="12" spans="1:34" ht="13.8" customHeight="1" x14ac:dyDescent="0.25">
      <c r="A12" s="28">
        <v>24</v>
      </c>
      <c r="B12" s="31">
        <v>36</v>
      </c>
      <c r="C12" s="14"/>
      <c r="D12" s="35">
        <v>24</v>
      </c>
      <c r="E12" s="23">
        <v>70</v>
      </c>
      <c r="F12" s="23">
        <v>209</v>
      </c>
      <c r="G12" s="44">
        <v>413</v>
      </c>
      <c r="H12" s="22"/>
      <c r="I12" s="35">
        <v>24</v>
      </c>
      <c r="J12" s="19">
        <v>139</v>
      </c>
      <c r="K12" s="19">
        <v>414</v>
      </c>
      <c r="L12" s="50">
        <v>820</v>
      </c>
      <c r="M12" s="17"/>
      <c r="N12" s="35">
        <v>24</v>
      </c>
      <c r="O12" s="18">
        <v>208</v>
      </c>
      <c r="P12" s="18">
        <v>620</v>
      </c>
      <c r="Q12" s="56">
        <v>1228</v>
      </c>
      <c r="R12" s="17"/>
      <c r="S12" s="35">
        <v>24</v>
      </c>
      <c r="T12" s="15">
        <v>277</v>
      </c>
      <c r="U12" s="15">
        <v>826</v>
      </c>
      <c r="V12" s="62">
        <v>1635</v>
      </c>
      <c r="W12" s="17"/>
      <c r="X12" s="35">
        <v>24</v>
      </c>
      <c r="Y12" s="25">
        <v>346</v>
      </c>
      <c r="Z12" s="25">
        <v>1031</v>
      </c>
      <c r="AA12" s="36">
        <v>2042</v>
      </c>
    </row>
    <row r="13" spans="1:34" ht="13.95" customHeight="1" x14ac:dyDescent="0.25">
      <c r="A13" s="27">
        <v>25</v>
      </c>
      <c r="B13" s="30">
        <v>35</v>
      </c>
      <c r="C13" s="14"/>
      <c r="D13" s="34">
        <v>25</v>
      </c>
      <c r="E13" s="23">
        <v>76</v>
      </c>
      <c r="F13" s="23">
        <v>226</v>
      </c>
      <c r="G13" s="44">
        <v>449</v>
      </c>
      <c r="H13" s="22"/>
      <c r="I13" s="34">
        <v>25</v>
      </c>
      <c r="J13" s="19">
        <v>151</v>
      </c>
      <c r="K13" s="19">
        <v>450</v>
      </c>
      <c r="L13" s="50">
        <v>891</v>
      </c>
      <c r="M13" s="17"/>
      <c r="N13" s="34">
        <v>25</v>
      </c>
      <c r="O13" s="18">
        <v>226</v>
      </c>
      <c r="P13" s="18">
        <v>674</v>
      </c>
      <c r="Q13" s="56">
        <v>1334</v>
      </c>
      <c r="R13" s="17"/>
      <c r="S13" s="34">
        <v>25</v>
      </c>
      <c r="T13" s="15">
        <v>301</v>
      </c>
      <c r="U13" s="15">
        <v>897</v>
      </c>
      <c r="V13" s="62">
        <v>1776</v>
      </c>
      <c r="W13" s="17"/>
      <c r="X13" s="34">
        <v>25</v>
      </c>
      <c r="Y13" s="25">
        <v>376</v>
      </c>
      <c r="Z13" s="25">
        <v>1121</v>
      </c>
      <c r="AA13" s="36">
        <v>2219</v>
      </c>
    </row>
    <row r="14" spans="1:34" ht="13.95" customHeight="1" x14ac:dyDescent="0.25">
      <c r="A14" s="27">
        <v>26</v>
      </c>
      <c r="B14" s="30">
        <v>34</v>
      </c>
      <c r="C14" s="14"/>
      <c r="D14" s="34">
        <v>26</v>
      </c>
      <c r="E14" s="23">
        <v>82</v>
      </c>
      <c r="F14" s="23">
        <v>244</v>
      </c>
      <c r="G14" s="44">
        <v>484</v>
      </c>
      <c r="H14" s="22"/>
      <c r="I14" s="34">
        <v>26</v>
      </c>
      <c r="J14" s="19">
        <v>164</v>
      </c>
      <c r="K14" s="19">
        <v>489</v>
      </c>
      <c r="L14" s="50">
        <v>968</v>
      </c>
      <c r="M14" s="17"/>
      <c r="N14" s="34">
        <v>26</v>
      </c>
      <c r="O14" s="18">
        <v>246</v>
      </c>
      <c r="P14" s="18">
        <v>733</v>
      </c>
      <c r="Q14" s="56">
        <v>1452</v>
      </c>
      <c r="R14" s="17"/>
      <c r="S14" s="34">
        <v>26</v>
      </c>
      <c r="T14" s="15">
        <v>327</v>
      </c>
      <c r="U14" s="15">
        <v>975</v>
      </c>
      <c r="V14" s="62">
        <v>1930</v>
      </c>
      <c r="W14" s="17"/>
      <c r="X14" s="34">
        <v>26</v>
      </c>
      <c r="Y14" s="25">
        <v>409</v>
      </c>
      <c r="Z14" s="25">
        <v>1219</v>
      </c>
      <c r="AA14" s="36">
        <v>2414</v>
      </c>
    </row>
    <row r="15" spans="1:34" ht="13.95" customHeight="1" x14ac:dyDescent="0.25">
      <c r="A15" s="27">
        <v>27</v>
      </c>
      <c r="B15" s="30">
        <v>33</v>
      </c>
      <c r="C15" s="14"/>
      <c r="D15" s="34">
        <v>27</v>
      </c>
      <c r="E15" s="23">
        <v>90</v>
      </c>
      <c r="F15" s="23">
        <v>268</v>
      </c>
      <c r="G15" s="44">
        <v>531</v>
      </c>
      <c r="H15" s="22"/>
      <c r="I15" s="34">
        <v>27</v>
      </c>
      <c r="J15" s="19">
        <v>178</v>
      </c>
      <c r="K15" s="19">
        <v>530</v>
      </c>
      <c r="L15" s="50">
        <v>1050</v>
      </c>
      <c r="M15" s="17"/>
      <c r="N15" s="34">
        <v>27</v>
      </c>
      <c r="O15" s="18">
        <v>268</v>
      </c>
      <c r="P15" s="18">
        <v>799</v>
      </c>
      <c r="Q15" s="56">
        <v>1582</v>
      </c>
      <c r="R15" s="17"/>
      <c r="S15" s="34">
        <v>27</v>
      </c>
      <c r="T15" s="15">
        <v>356</v>
      </c>
      <c r="U15" s="15">
        <v>1061</v>
      </c>
      <c r="V15" s="62">
        <v>2101</v>
      </c>
      <c r="W15" s="17"/>
      <c r="X15" s="34">
        <v>27</v>
      </c>
      <c r="Y15" s="25">
        <v>446</v>
      </c>
      <c r="Z15" s="25">
        <v>1329</v>
      </c>
      <c r="AA15" s="36">
        <v>2632</v>
      </c>
    </row>
    <row r="16" spans="1:34" ht="13.8" customHeight="1" x14ac:dyDescent="0.25">
      <c r="A16" s="27">
        <v>28</v>
      </c>
      <c r="B16" s="30">
        <v>32</v>
      </c>
      <c r="C16" s="14"/>
      <c r="D16" s="34">
        <v>28</v>
      </c>
      <c r="E16" s="23">
        <v>97</v>
      </c>
      <c r="F16" s="23">
        <v>289</v>
      </c>
      <c r="G16" s="44">
        <v>572</v>
      </c>
      <c r="H16" s="22"/>
      <c r="I16" s="34">
        <v>28</v>
      </c>
      <c r="J16" s="19">
        <v>194</v>
      </c>
      <c r="K16" s="19">
        <v>578</v>
      </c>
      <c r="L16" s="50">
        <v>1145</v>
      </c>
      <c r="M16" s="17"/>
      <c r="N16" s="34">
        <v>28</v>
      </c>
      <c r="O16" s="18">
        <v>292</v>
      </c>
      <c r="P16" s="18">
        <v>870</v>
      </c>
      <c r="Q16" s="56">
        <v>1723</v>
      </c>
      <c r="R16" s="17"/>
      <c r="S16" s="34">
        <v>28</v>
      </c>
      <c r="T16" s="15">
        <v>388</v>
      </c>
      <c r="U16" s="15">
        <v>1156</v>
      </c>
      <c r="V16" s="62">
        <v>2290</v>
      </c>
      <c r="W16" s="17"/>
      <c r="X16" s="34">
        <v>28</v>
      </c>
      <c r="Y16" s="25">
        <v>485</v>
      </c>
      <c r="Z16" s="25">
        <v>1445</v>
      </c>
      <c r="AA16" s="36">
        <v>2862</v>
      </c>
    </row>
    <row r="17" spans="1:27" ht="13.95" customHeight="1" x14ac:dyDescent="0.25">
      <c r="A17" s="27">
        <v>29</v>
      </c>
      <c r="B17" s="30">
        <v>31</v>
      </c>
      <c r="C17" s="14"/>
      <c r="D17" s="34">
        <v>29</v>
      </c>
      <c r="E17" s="23">
        <v>106</v>
      </c>
      <c r="F17" s="23">
        <v>316</v>
      </c>
      <c r="G17" s="44">
        <v>626</v>
      </c>
      <c r="H17" s="22"/>
      <c r="I17" s="34">
        <v>29</v>
      </c>
      <c r="J17" s="19">
        <v>212</v>
      </c>
      <c r="K17" s="19">
        <v>632</v>
      </c>
      <c r="L17" s="50">
        <v>1251</v>
      </c>
      <c r="M17" s="17"/>
      <c r="N17" s="34">
        <v>29</v>
      </c>
      <c r="O17" s="18">
        <v>318</v>
      </c>
      <c r="P17" s="18">
        <v>948</v>
      </c>
      <c r="Q17" s="56">
        <v>1877</v>
      </c>
      <c r="R17" s="17"/>
      <c r="S17" s="34">
        <v>29</v>
      </c>
      <c r="T17" s="15">
        <v>423</v>
      </c>
      <c r="U17" s="15">
        <v>1261</v>
      </c>
      <c r="V17" s="62">
        <v>2496</v>
      </c>
      <c r="W17" s="17"/>
      <c r="X17" s="34">
        <v>29</v>
      </c>
      <c r="Y17" s="25">
        <v>529</v>
      </c>
      <c r="Z17" s="25">
        <v>1577</v>
      </c>
      <c r="AA17" s="36">
        <v>3122</v>
      </c>
    </row>
    <row r="18" spans="1:27" ht="13.95" customHeight="1" x14ac:dyDescent="0.25">
      <c r="A18" s="28">
        <v>30</v>
      </c>
      <c r="B18" s="31">
        <v>30</v>
      </c>
      <c r="C18" s="14"/>
      <c r="D18" s="35">
        <v>30</v>
      </c>
      <c r="E18" s="23">
        <v>116</v>
      </c>
      <c r="F18" s="23">
        <v>346</v>
      </c>
      <c r="G18" s="44">
        <v>685</v>
      </c>
      <c r="H18" s="22"/>
      <c r="I18" s="35">
        <v>30</v>
      </c>
      <c r="J18" s="19">
        <v>231</v>
      </c>
      <c r="K18" s="19">
        <v>688</v>
      </c>
      <c r="L18" s="50">
        <v>1363</v>
      </c>
      <c r="M18" s="17"/>
      <c r="N18" s="35">
        <v>30</v>
      </c>
      <c r="O18" s="18">
        <v>347</v>
      </c>
      <c r="P18" s="18">
        <v>1034</v>
      </c>
      <c r="Q18" s="56">
        <v>2048</v>
      </c>
      <c r="R18" s="17"/>
      <c r="S18" s="35">
        <v>30</v>
      </c>
      <c r="T18" s="15">
        <v>462</v>
      </c>
      <c r="U18" s="15">
        <v>1377</v>
      </c>
      <c r="V18" s="62">
        <v>2727</v>
      </c>
      <c r="W18" s="17"/>
      <c r="X18" s="35">
        <v>30</v>
      </c>
      <c r="Y18" s="25">
        <v>577</v>
      </c>
      <c r="Z18" s="25">
        <v>1720</v>
      </c>
      <c r="AA18" s="36">
        <v>3405</v>
      </c>
    </row>
    <row r="19" spans="1:27" ht="13.95" customHeight="1" x14ac:dyDescent="0.25">
      <c r="A19" s="28">
        <v>31</v>
      </c>
      <c r="B19" s="31">
        <v>29</v>
      </c>
      <c r="C19" s="14"/>
      <c r="D19" s="35">
        <v>31</v>
      </c>
      <c r="E19" s="23">
        <v>126</v>
      </c>
      <c r="F19" s="23">
        <v>376</v>
      </c>
      <c r="G19" s="44">
        <v>744</v>
      </c>
      <c r="H19" s="22"/>
      <c r="I19" s="35">
        <v>31</v>
      </c>
      <c r="J19" s="19">
        <v>252</v>
      </c>
      <c r="K19" s="19">
        <v>751</v>
      </c>
      <c r="L19" s="50">
        <v>1487</v>
      </c>
      <c r="M19" s="17"/>
      <c r="N19" s="35">
        <v>31</v>
      </c>
      <c r="O19" s="18">
        <v>379</v>
      </c>
      <c r="P19" s="18">
        <v>1129</v>
      </c>
      <c r="Q19" s="56">
        <v>2237</v>
      </c>
      <c r="R19" s="17"/>
      <c r="S19" s="35">
        <v>31</v>
      </c>
      <c r="T19" s="15">
        <v>504</v>
      </c>
      <c r="U19" s="15">
        <v>1502</v>
      </c>
      <c r="V19" s="62">
        <v>2974</v>
      </c>
      <c r="W19" s="17"/>
      <c r="X19" s="35">
        <v>31</v>
      </c>
      <c r="Y19" s="25">
        <v>630</v>
      </c>
      <c r="Z19" s="25">
        <v>1878</v>
      </c>
      <c r="AA19" s="36">
        <v>3718</v>
      </c>
    </row>
    <row r="20" spans="1:27" ht="13.95" customHeight="1" x14ac:dyDescent="0.25">
      <c r="A20" s="28">
        <v>32</v>
      </c>
      <c r="B20" s="31">
        <v>28</v>
      </c>
      <c r="C20" s="14"/>
      <c r="D20" s="35">
        <v>32</v>
      </c>
      <c r="E20" s="23">
        <v>138</v>
      </c>
      <c r="F20" s="23">
        <v>411</v>
      </c>
      <c r="G20" s="44">
        <v>814</v>
      </c>
      <c r="H20" s="22"/>
      <c r="I20" s="35">
        <v>32</v>
      </c>
      <c r="J20" s="19">
        <v>276</v>
      </c>
      <c r="K20" s="19">
        <v>823</v>
      </c>
      <c r="L20" s="50">
        <v>1629</v>
      </c>
      <c r="M20" s="17"/>
      <c r="N20" s="35">
        <v>32</v>
      </c>
      <c r="O20" s="18">
        <v>414</v>
      </c>
      <c r="P20" s="18">
        <v>1234</v>
      </c>
      <c r="Q20" s="56">
        <v>2443</v>
      </c>
      <c r="R20" s="17"/>
      <c r="S20" s="35">
        <v>32</v>
      </c>
      <c r="T20" s="15">
        <v>551</v>
      </c>
      <c r="U20" s="15">
        <v>1642</v>
      </c>
      <c r="V20" s="62">
        <v>3252</v>
      </c>
      <c r="W20" s="17"/>
      <c r="X20" s="35">
        <v>32</v>
      </c>
      <c r="Y20" s="25">
        <v>689</v>
      </c>
      <c r="Z20" s="25">
        <v>2053</v>
      </c>
      <c r="AA20" s="36">
        <v>4066</v>
      </c>
    </row>
    <row r="21" spans="1:27" ht="13.95" customHeight="1" x14ac:dyDescent="0.25">
      <c r="A21" s="28">
        <v>33</v>
      </c>
      <c r="B21" s="31">
        <v>27</v>
      </c>
      <c r="C21" s="14"/>
      <c r="D21" s="35">
        <v>33</v>
      </c>
      <c r="E21" s="23">
        <v>151</v>
      </c>
      <c r="F21" s="23">
        <v>450</v>
      </c>
      <c r="G21" s="44">
        <v>891</v>
      </c>
      <c r="H21" s="22"/>
      <c r="I21" s="35">
        <v>33</v>
      </c>
      <c r="J21" s="19">
        <v>302</v>
      </c>
      <c r="K21" s="19">
        <v>900</v>
      </c>
      <c r="L21" s="50">
        <v>1782</v>
      </c>
      <c r="M21" s="17"/>
      <c r="N21" s="35">
        <v>33</v>
      </c>
      <c r="O21" s="18">
        <v>453</v>
      </c>
      <c r="P21" s="18">
        <v>1350</v>
      </c>
      <c r="Q21" s="56">
        <v>2673</v>
      </c>
      <c r="R21" s="17"/>
      <c r="S21" s="35">
        <v>33</v>
      </c>
      <c r="T21" s="15">
        <v>602</v>
      </c>
      <c r="U21" s="15">
        <v>1794</v>
      </c>
      <c r="V21" s="62">
        <v>3553</v>
      </c>
      <c r="W21" s="17"/>
      <c r="X21" s="35">
        <v>33</v>
      </c>
      <c r="Y21" s="25">
        <v>752</v>
      </c>
      <c r="Z21" s="25">
        <v>2241</v>
      </c>
      <c r="AA21" s="36">
        <v>4438</v>
      </c>
    </row>
    <row r="22" spans="1:27" ht="13.95" customHeight="1" x14ac:dyDescent="0.25">
      <c r="A22" s="28">
        <v>34</v>
      </c>
      <c r="B22" s="31">
        <v>26</v>
      </c>
      <c r="C22" s="14"/>
      <c r="D22" s="35">
        <v>34</v>
      </c>
      <c r="E22" s="23">
        <v>165</v>
      </c>
      <c r="F22" s="23">
        <v>492</v>
      </c>
      <c r="G22" s="44">
        <v>974</v>
      </c>
      <c r="H22" s="22"/>
      <c r="I22" s="35">
        <v>34</v>
      </c>
      <c r="J22" s="19">
        <v>330</v>
      </c>
      <c r="K22" s="19">
        <v>983</v>
      </c>
      <c r="L22" s="50">
        <v>1948</v>
      </c>
      <c r="M22" s="17"/>
      <c r="N22" s="35">
        <v>34</v>
      </c>
      <c r="O22" s="18">
        <v>495</v>
      </c>
      <c r="P22" s="18">
        <v>1475</v>
      </c>
      <c r="Q22" s="56">
        <v>2921</v>
      </c>
      <c r="R22" s="17"/>
      <c r="S22" s="35">
        <v>34</v>
      </c>
      <c r="T22" s="15">
        <v>659</v>
      </c>
      <c r="U22" s="15">
        <v>1964</v>
      </c>
      <c r="V22" s="62">
        <v>3889</v>
      </c>
      <c r="W22" s="17"/>
      <c r="X22" s="35">
        <v>34</v>
      </c>
      <c r="Y22" s="25">
        <v>824</v>
      </c>
      <c r="Z22" s="25">
        <v>2456</v>
      </c>
      <c r="AA22" s="36">
        <v>4863</v>
      </c>
    </row>
    <row r="23" spans="1:27" ht="13.95" customHeight="1" x14ac:dyDescent="0.25">
      <c r="A23" s="27">
        <v>35</v>
      </c>
      <c r="B23" s="30">
        <v>25</v>
      </c>
      <c r="C23" s="14"/>
      <c r="D23" s="34">
        <v>35</v>
      </c>
      <c r="E23" s="23">
        <v>181</v>
      </c>
      <c r="F23" s="23">
        <v>539</v>
      </c>
      <c r="G23" s="44">
        <v>1068</v>
      </c>
      <c r="H23" s="22"/>
      <c r="I23" s="34">
        <v>35</v>
      </c>
      <c r="J23" s="19">
        <v>362</v>
      </c>
      <c r="K23" s="19">
        <v>1079</v>
      </c>
      <c r="L23" s="50">
        <v>2136</v>
      </c>
      <c r="M23" s="17"/>
      <c r="N23" s="34">
        <v>35</v>
      </c>
      <c r="O23" s="18">
        <v>543</v>
      </c>
      <c r="P23" s="18">
        <v>1618</v>
      </c>
      <c r="Q23" s="56">
        <v>3205</v>
      </c>
      <c r="R23" s="17"/>
      <c r="S23" s="34">
        <v>35</v>
      </c>
      <c r="T23" s="15">
        <v>722</v>
      </c>
      <c r="U23" s="15">
        <v>2152</v>
      </c>
      <c r="V23" s="62">
        <v>4261</v>
      </c>
      <c r="W23" s="17"/>
      <c r="X23" s="34">
        <v>35</v>
      </c>
      <c r="Y23" s="25">
        <v>902</v>
      </c>
      <c r="Z23" s="25">
        <v>2688</v>
      </c>
      <c r="AA23" s="36">
        <v>5323</v>
      </c>
    </row>
    <row r="24" spans="1:27" ht="13.8" customHeight="1" x14ac:dyDescent="0.25">
      <c r="A24" s="27">
        <v>36</v>
      </c>
      <c r="B24" s="30">
        <v>24</v>
      </c>
      <c r="C24" s="14"/>
      <c r="D24" s="34">
        <v>36</v>
      </c>
      <c r="E24" s="23">
        <v>198</v>
      </c>
      <c r="F24" s="23">
        <v>590</v>
      </c>
      <c r="G24" s="44">
        <v>1169</v>
      </c>
      <c r="H24" s="22"/>
      <c r="I24" s="34">
        <v>36</v>
      </c>
      <c r="J24" s="19">
        <v>396</v>
      </c>
      <c r="K24" s="19">
        <v>1180</v>
      </c>
      <c r="L24" s="50">
        <v>2337</v>
      </c>
      <c r="M24" s="17"/>
      <c r="N24" s="34">
        <v>36</v>
      </c>
      <c r="O24" s="18">
        <v>594</v>
      </c>
      <c r="P24" s="18">
        <v>1770</v>
      </c>
      <c r="Q24" s="56">
        <v>3506</v>
      </c>
      <c r="R24" s="17"/>
      <c r="S24" s="34">
        <v>36</v>
      </c>
      <c r="T24" s="15">
        <v>792</v>
      </c>
      <c r="U24" s="15">
        <v>2360</v>
      </c>
      <c r="V24" s="62">
        <v>4674</v>
      </c>
      <c r="W24" s="17"/>
      <c r="X24" s="34">
        <v>36</v>
      </c>
      <c r="Y24" s="25">
        <v>990</v>
      </c>
      <c r="Z24" s="25">
        <v>2950</v>
      </c>
      <c r="AA24" s="36">
        <v>5843</v>
      </c>
    </row>
    <row r="25" spans="1:27" ht="13.95" customHeight="1" x14ac:dyDescent="0.25">
      <c r="A25" s="27">
        <v>37</v>
      </c>
      <c r="B25" s="30">
        <v>23</v>
      </c>
      <c r="C25" s="14"/>
      <c r="D25" s="34">
        <v>37</v>
      </c>
      <c r="E25" s="23">
        <v>218</v>
      </c>
      <c r="F25" s="23">
        <v>650</v>
      </c>
      <c r="G25" s="44">
        <v>1287</v>
      </c>
      <c r="H25" s="22"/>
      <c r="I25" s="34">
        <v>37</v>
      </c>
      <c r="J25" s="19">
        <v>436</v>
      </c>
      <c r="K25" s="19">
        <v>1299</v>
      </c>
      <c r="L25" s="50">
        <v>2573</v>
      </c>
      <c r="M25" s="17"/>
      <c r="N25" s="34">
        <v>37</v>
      </c>
      <c r="O25" s="18">
        <v>654</v>
      </c>
      <c r="P25" s="18">
        <v>1949</v>
      </c>
      <c r="Q25" s="56">
        <v>3860</v>
      </c>
      <c r="R25" s="17"/>
      <c r="S25" s="34">
        <v>37</v>
      </c>
      <c r="T25" s="15">
        <v>870</v>
      </c>
      <c r="U25" s="15">
        <v>2593</v>
      </c>
      <c r="V25" s="62">
        <v>5134</v>
      </c>
      <c r="W25" s="17"/>
      <c r="X25" s="34">
        <v>37</v>
      </c>
      <c r="Y25" s="25">
        <v>1087</v>
      </c>
      <c r="Z25" s="25">
        <v>3239</v>
      </c>
      <c r="AA25" s="36">
        <v>6415</v>
      </c>
    </row>
    <row r="26" spans="1:27" ht="13.95" customHeight="1" x14ac:dyDescent="0.25">
      <c r="A26" s="27">
        <v>38</v>
      </c>
      <c r="B26" s="30">
        <v>22</v>
      </c>
      <c r="C26" s="14"/>
      <c r="D26" s="34">
        <v>38</v>
      </c>
      <c r="E26" s="23">
        <v>240</v>
      </c>
      <c r="F26" s="23">
        <v>715</v>
      </c>
      <c r="G26" s="44">
        <v>1416</v>
      </c>
      <c r="H26" s="22"/>
      <c r="I26" s="34">
        <v>38</v>
      </c>
      <c r="J26" s="19">
        <v>480</v>
      </c>
      <c r="K26" s="19">
        <v>1430</v>
      </c>
      <c r="L26" s="50">
        <v>2833</v>
      </c>
      <c r="M26" s="17"/>
      <c r="N26" s="34">
        <v>38</v>
      </c>
      <c r="O26" s="18">
        <v>720</v>
      </c>
      <c r="P26" s="18">
        <v>2146</v>
      </c>
      <c r="Q26" s="56">
        <v>4249</v>
      </c>
      <c r="R26" s="17"/>
      <c r="S26" s="34">
        <v>38</v>
      </c>
      <c r="T26" s="15">
        <v>957</v>
      </c>
      <c r="U26" s="15">
        <v>2852</v>
      </c>
      <c r="V26" s="62">
        <v>5648</v>
      </c>
      <c r="W26" s="17"/>
      <c r="X26" s="34">
        <v>38</v>
      </c>
      <c r="Y26" s="25">
        <v>1196</v>
      </c>
      <c r="Z26" s="25">
        <v>3564</v>
      </c>
      <c r="AA26" s="36">
        <v>7058</v>
      </c>
    </row>
    <row r="27" spans="1:27" ht="13.95" customHeight="1" x14ac:dyDescent="0.25">
      <c r="A27" s="32">
        <v>39</v>
      </c>
      <c r="B27" s="33">
        <v>21</v>
      </c>
      <c r="C27" s="14"/>
      <c r="D27" s="37">
        <v>39</v>
      </c>
      <c r="E27" s="48">
        <v>264</v>
      </c>
      <c r="F27" s="48">
        <v>787</v>
      </c>
      <c r="G27" s="49">
        <v>1558</v>
      </c>
      <c r="H27" s="22"/>
      <c r="I27" s="37">
        <v>39</v>
      </c>
      <c r="J27" s="54">
        <v>528</v>
      </c>
      <c r="K27" s="54">
        <v>1574</v>
      </c>
      <c r="L27" s="55">
        <v>3116</v>
      </c>
      <c r="M27" s="17"/>
      <c r="N27" s="37">
        <v>39</v>
      </c>
      <c r="O27" s="60">
        <v>792</v>
      </c>
      <c r="P27" s="60">
        <v>2360</v>
      </c>
      <c r="Q27" s="61">
        <v>4674</v>
      </c>
      <c r="R27" s="17"/>
      <c r="S27" s="37">
        <v>39</v>
      </c>
      <c r="T27" s="66">
        <v>1054</v>
      </c>
      <c r="U27" s="66">
        <v>3141</v>
      </c>
      <c r="V27" s="67">
        <v>6220</v>
      </c>
      <c r="W27" s="17"/>
      <c r="X27" s="37">
        <v>39</v>
      </c>
      <c r="Y27" s="38">
        <v>1318</v>
      </c>
      <c r="Z27" s="38">
        <v>3928</v>
      </c>
      <c r="AA27" s="39">
        <v>7778</v>
      </c>
    </row>
    <row r="29" spans="1:27" x14ac:dyDescent="0.25">
      <c r="A29" s="69" t="s">
        <v>28</v>
      </c>
      <c r="B29">
        <f>VLOOKUP(Dashboard1!J4,Age[],2,1)</f>
        <v>32</v>
      </c>
      <c r="E29">
        <f>VLOOKUP(Dashboard1!$J$4,one[],2,1)</f>
        <v>97</v>
      </c>
      <c r="F29">
        <f>VLOOKUP(Dashboard1!$J$4,one[],3,1)</f>
        <v>289</v>
      </c>
      <c r="G29">
        <f>VLOOKUP(Dashboard1!$J$4,one[],4,1)</f>
        <v>572</v>
      </c>
      <c r="J29">
        <f>VLOOKUP(Dashboard1!$J$4,two[],2,1)</f>
        <v>194</v>
      </c>
      <c r="K29">
        <f>VLOOKUP(Dashboard1!$J$4,two[],3,1)</f>
        <v>578</v>
      </c>
      <c r="L29">
        <f>VLOOKUP(Dashboard1!$J$4,two[],4,1)</f>
        <v>1145</v>
      </c>
      <c r="O29">
        <f>VLOOKUP(Dashboard1!$J$4,three[],2,1)</f>
        <v>292</v>
      </c>
      <c r="P29">
        <f>VLOOKUP(Dashboard1!$J$4,three[],3,1)</f>
        <v>870</v>
      </c>
      <c r="Q29">
        <f>VLOOKUP(Dashboard1!$J$4,three[],4,1)</f>
        <v>1723</v>
      </c>
      <c r="T29">
        <f>VLOOKUP(Dashboard1!$J$4,four[],2,1)</f>
        <v>388</v>
      </c>
      <c r="U29">
        <f>VLOOKUP(Dashboard1!$J$4,four[],3,1)</f>
        <v>1156</v>
      </c>
      <c r="V29">
        <f>VLOOKUP(Dashboard1!$J$4,four[],4,1)</f>
        <v>2290</v>
      </c>
      <c r="Y29">
        <f>VLOOKUP(Dashboard1!$J$4,five[],2,1)</f>
        <v>485</v>
      </c>
      <c r="Z29">
        <f>VLOOKUP(Dashboard1!$J$4,five[],3,1)</f>
        <v>1445</v>
      </c>
      <c r="AA29">
        <f>VLOOKUP(Dashboard1!$J$4,five[],4,1)</f>
        <v>2862</v>
      </c>
    </row>
    <row r="32" spans="1:27" x14ac:dyDescent="0.25">
      <c r="E32" s="69" t="s">
        <v>24</v>
      </c>
      <c r="F32" s="69" t="s">
        <v>25</v>
      </c>
      <c r="G32" s="69" t="s">
        <v>26</v>
      </c>
    </row>
    <row r="33" spans="4:7" x14ac:dyDescent="0.25">
      <c r="E33">
        <f>IF(Dashboard1!N4=1000,APY!E29,IF(Dashboard1!N4=2000,APY!J29,IF(Dashboard1!N4=3000,APY!O29,IF(Dashboard1!N4=4000,APY!T29,APY!Y29))))</f>
        <v>485</v>
      </c>
      <c r="F33">
        <f>IF(Dashboard1!N4=1000,APY!F29,IF(Dashboard1!N4=2000,APY!K29,IF(Dashboard1!N4=3000,APY!P29,IF(Dashboard1!N4=4000,APY!U29,APY!Z29))))</f>
        <v>1445</v>
      </c>
      <c r="G33">
        <f>IF(Dashboard1!N4=1000,APY!G29,IF(Dashboard1!N4=2000,APY!L29,IF(Dashboard1!N4=3000,APY!Q29,IF(Dashboard1!N4=4000,APY!V29,APY!AA29))))</f>
        <v>2862</v>
      </c>
    </row>
    <row r="35" spans="4:7" x14ac:dyDescent="0.25">
      <c r="D35" s="10" t="s">
        <v>29</v>
      </c>
      <c r="E35">
        <f>(E33*12)*$B$29</f>
        <v>186240</v>
      </c>
      <c r="F35">
        <f>(F33*4)*$B$29</f>
        <v>184960</v>
      </c>
      <c r="G35">
        <f>(G33*2)*$B$29</f>
        <v>183168</v>
      </c>
    </row>
    <row r="36" spans="4:7" x14ac:dyDescent="0.25">
      <c r="D36" s="4" t="s">
        <v>30</v>
      </c>
      <c r="E36">
        <f>E33*12</f>
        <v>5820</v>
      </c>
      <c r="F36">
        <f>F33*4</f>
        <v>5780</v>
      </c>
      <c r="G36">
        <f>G33*2</f>
        <v>5724</v>
      </c>
    </row>
    <row r="39" spans="4:7" x14ac:dyDescent="0.25">
      <c r="E39">
        <f>ROUND(MIN(E35:G35)/Dashboard1!$N$4,0)</f>
        <v>37</v>
      </c>
    </row>
  </sheetData>
  <mergeCells count="18">
    <mergeCell ref="A1:AA1"/>
    <mergeCell ref="A2:B2"/>
    <mergeCell ref="N2:Q2"/>
    <mergeCell ref="X2:AA2"/>
    <mergeCell ref="A3:B3"/>
    <mergeCell ref="D3:G3"/>
    <mergeCell ref="N3:Q3"/>
    <mergeCell ref="X3:AA3"/>
    <mergeCell ref="S2:V2"/>
    <mergeCell ref="S3:V3"/>
    <mergeCell ref="D2:G2"/>
    <mergeCell ref="I2:L2"/>
    <mergeCell ref="I3:L3"/>
    <mergeCell ref="I4:L4"/>
    <mergeCell ref="X4:AA4"/>
    <mergeCell ref="N4:Q4"/>
    <mergeCell ref="S4:V4"/>
    <mergeCell ref="D4:G4"/>
  </mergeCells>
  <pageMargins left="0.7" right="0.7" top="0.75" bottom="0.75" header="0.3" footer="0.3"/>
  <pageSetup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D23D-9B18-422F-BC47-EEB986012A5F}">
  <dimension ref="J1:P6"/>
  <sheetViews>
    <sheetView tabSelected="1" zoomScale="70" zoomScaleNormal="70" workbookViewId="0">
      <selection activeCell="R32" sqref="R32"/>
    </sheetView>
  </sheetViews>
  <sheetFormatPr defaultRowHeight="13.2" x14ac:dyDescent="0.25"/>
  <cols>
    <col min="1" max="16384" width="8.88671875" style="70"/>
  </cols>
  <sheetData>
    <row r="1" spans="10:16" ht="13.8" thickBot="1" x14ac:dyDescent="0.3"/>
    <row r="2" spans="10:16" ht="13.2" customHeight="1" x14ac:dyDescent="0.25">
      <c r="J2" s="99" t="s">
        <v>27</v>
      </c>
      <c r="K2" s="100"/>
      <c r="L2" s="101"/>
      <c r="N2" s="99" t="s">
        <v>23</v>
      </c>
      <c r="O2" s="100"/>
      <c r="P2" s="101"/>
    </row>
    <row r="3" spans="10:16" ht="13.2" customHeight="1" x14ac:dyDescent="0.25">
      <c r="J3" s="102"/>
      <c r="K3" s="103"/>
      <c r="L3" s="104"/>
      <c r="N3" s="102"/>
      <c r="O3" s="103"/>
      <c r="P3" s="104"/>
    </row>
    <row r="4" spans="10:16" ht="13.2" customHeight="1" x14ac:dyDescent="0.25">
      <c r="J4" s="105">
        <v>28</v>
      </c>
      <c r="K4" s="106"/>
      <c r="L4" s="107"/>
      <c r="N4" s="105">
        <v>5000</v>
      </c>
      <c r="O4" s="106"/>
      <c r="P4" s="107"/>
    </row>
    <row r="5" spans="10:16" ht="13.2" customHeight="1" x14ac:dyDescent="0.25">
      <c r="J5" s="105"/>
      <c r="K5" s="106"/>
      <c r="L5" s="107"/>
      <c r="N5" s="105"/>
      <c r="O5" s="106"/>
      <c r="P5" s="107"/>
    </row>
    <row r="6" spans="10:16" ht="13.2" customHeight="1" thickBot="1" x14ac:dyDescent="0.3">
      <c r="J6" s="108"/>
      <c r="K6" s="109"/>
      <c r="L6" s="110"/>
      <c r="N6" s="108"/>
      <c r="O6" s="109"/>
      <c r="P6" s="110"/>
    </row>
  </sheetData>
  <mergeCells count="4">
    <mergeCell ref="J2:L3"/>
    <mergeCell ref="J4:L6"/>
    <mergeCell ref="N2:P3"/>
    <mergeCell ref="N4:P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BD9C34-B380-4FCE-A331-7211213448EC}">
          <x14:formula1>
            <xm:f>APY!$A$6:$A$27</xm:f>
          </x14:formula1>
          <xm:sqref>J4</xm:sqref>
        </x14:dataValidation>
        <x14:dataValidation type="list" allowBlank="1" showInputMessage="1" showErrorMessage="1" xr:uid="{9A6AF2AD-D790-4CE7-9E17-F973A1B34F9F}">
          <x14:formula1>
            <xm:f>APY!$AE$3:$AE$7</xm:f>
          </x14:formula1>
          <xm:sqref>N4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1D1F4-11B7-4C5A-8922-2A85889AA5B8}">
  <dimension ref="I15:S27"/>
  <sheetViews>
    <sheetView workbookViewId="0">
      <selection activeCell="X12" sqref="X12"/>
    </sheetView>
  </sheetViews>
  <sheetFormatPr defaultRowHeight="13.2" x14ac:dyDescent="0.25"/>
  <cols>
    <col min="1" max="16384" width="8.88671875" style="75"/>
  </cols>
  <sheetData>
    <row r="15" spans="19:19" x14ac:dyDescent="0.25">
      <c r="S15" s="76"/>
    </row>
    <row r="27" spans="9:9" x14ac:dyDescent="0.25">
      <c r="I27" s="7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2025-E6F2-4014-833C-6482D22EC745}">
  <dimension ref="A1:R3012"/>
  <sheetViews>
    <sheetView topLeftCell="K6" zoomScale="205" zoomScaleNormal="205" workbookViewId="0">
      <selection activeCell="M16" sqref="M16"/>
    </sheetView>
  </sheetViews>
  <sheetFormatPr defaultRowHeight="13.2" x14ac:dyDescent="0.25"/>
  <cols>
    <col min="1" max="1" width="12.109375" bestFit="1" customWidth="1"/>
    <col min="2" max="2" width="10.33203125" bestFit="1" customWidth="1"/>
    <col min="3" max="3" width="5" bestFit="1" customWidth="1"/>
    <col min="4" max="4" width="10.33203125" bestFit="1" customWidth="1"/>
    <col min="5" max="5" width="11.21875" bestFit="1" customWidth="1"/>
    <col min="6" max="6" width="7" bestFit="1" customWidth="1"/>
    <col min="7" max="7" width="4.33203125" bestFit="1" customWidth="1"/>
    <col min="8" max="8" width="3.6640625" bestFit="1" customWidth="1"/>
    <col min="9" max="9" width="10.33203125" bestFit="1" customWidth="1"/>
    <col min="10" max="10" width="7" bestFit="1" customWidth="1"/>
    <col min="11" max="11" width="3.6640625" bestFit="1" customWidth="1"/>
    <col min="13" max="13" width="12" bestFit="1" customWidth="1"/>
  </cols>
  <sheetData>
    <row r="1" spans="1:18" x14ac:dyDescent="0.25">
      <c r="A1" s="69" t="s">
        <v>31</v>
      </c>
      <c r="B1" s="71">
        <v>35057</v>
      </c>
      <c r="D1" s="69" t="s">
        <v>35</v>
      </c>
      <c r="E1" s="69" t="s">
        <v>36</v>
      </c>
      <c r="M1" s="69" t="s">
        <v>50</v>
      </c>
      <c r="N1" s="69">
        <f ca="1">N9</f>
        <v>85486</v>
      </c>
      <c r="O1" s="69"/>
    </row>
    <row r="2" spans="1:18" x14ac:dyDescent="0.25">
      <c r="A2" s="69" t="s">
        <v>32</v>
      </c>
      <c r="B2" s="71">
        <f ca="1">TODAY()</f>
        <v>46058</v>
      </c>
      <c r="D2" s="71">
        <v>44866</v>
      </c>
      <c r="E2" s="71">
        <f ca="1">D2+(B4*365)</f>
        <v>55816</v>
      </c>
      <c r="G2" s="69" t="s">
        <v>41</v>
      </c>
      <c r="H2" s="69" t="s">
        <v>40</v>
      </c>
      <c r="M2" s="69" t="s">
        <v>51</v>
      </c>
      <c r="N2">
        <f ca="1">MAX(APY!E35:G35)-N1</f>
        <v>100754</v>
      </c>
      <c r="Q2">
        <v>1000</v>
      </c>
      <c r="R2">
        <v>170000</v>
      </c>
    </row>
    <row r="3" spans="1:18" x14ac:dyDescent="0.25">
      <c r="A3" s="69" t="s">
        <v>33</v>
      </c>
      <c r="B3">
        <f ca="1">DATEDIF(B1,B2,"y")</f>
        <v>30</v>
      </c>
      <c r="M3" s="69"/>
      <c r="Q3">
        <v>2000</v>
      </c>
      <c r="R3">
        <v>340000</v>
      </c>
    </row>
    <row r="4" spans="1:18" x14ac:dyDescent="0.25">
      <c r="A4" s="69" t="s">
        <v>42</v>
      </c>
      <c r="B4">
        <f ca="1">VLOOKUP(B3,Age[],2,1)</f>
        <v>30</v>
      </c>
      <c r="D4" s="111" t="s">
        <v>37</v>
      </c>
      <c r="E4" s="112"/>
      <c r="M4" s="69"/>
      <c r="Q4">
        <v>3000</v>
      </c>
      <c r="R4">
        <v>510000</v>
      </c>
    </row>
    <row r="5" spans="1:18" x14ac:dyDescent="0.25">
      <c r="A5" s="69" t="s">
        <v>43</v>
      </c>
      <c r="B5">
        <f ca="1">B3+B4</f>
        <v>60</v>
      </c>
      <c r="D5">
        <f>Dashboard1!N4</f>
        <v>5000</v>
      </c>
      <c r="E5">
        <f>VLOOKUP(D5,Q2:R6,2,1)</f>
        <v>850000</v>
      </c>
      <c r="Q5">
        <v>4000</v>
      </c>
      <c r="R5">
        <v>680000</v>
      </c>
    </row>
    <row r="6" spans="1:18" x14ac:dyDescent="0.25">
      <c r="A6" s="69"/>
      <c r="Q6">
        <v>5000</v>
      </c>
      <c r="R6">
        <v>850000</v>
      </c>
    </row>
    <row r="7" spans="1:18" x14ac:dyDescent="0.25">
      <c r="A7" s="69" t="s">
        <v>44</v>
      </c>
      <c r="B7" s="69" t="s">
        <v>45</v>
      </c>
      <c r="E7" s="69" t="s">
        <v>44</v>
      </c>
      <c r="F7" s="69" t="s">
        <v>45</v>
      </c>
      <c r="I7" s="69" t="s">
        <v>44</v>
      </c>
      <c r="J7" s="69" t="s">
        <v>45</v>
      </c>
    </row>
    <row r="8" spans="1:18" x14ac:dyDescent="0.25">
      <c r="A8">
        <f ca="1">C9*B10</f>
        <v>1731</v>
      </c>
      <c r="B8">
        <f ca="1">APY!E35-Sheet1!A8</f>
        <v>184509</v>
      </c>
      <c r="C8">
        <f>COUNTIF($C$10:$C$2958,"NO")</f>
        <v>2946</v>
      </c>
      <c r="E8">
        <f ca="1">G9*F10</f>
        <v>32680</v>
      </c>
      <c r="F8">
        <f ca="1">APY!F35-Sheet1!E8</f>
        <v>152280</v>
      </c>
      <c r="G8" s="74">
        <f>COUNTIF($G$10:$G$2958,"NO")</f>
        <v>157</v>
      </c>
      <c r="I8">
        <f ca="1">K9*J10</f>
        <v>51075</v>
      </c>
      <c r="J8">
        <f ca="1">APY!G35-Sheet1!I8</f>
        <v>132093</v>
      </c>
      <c r="K8" s="74">
        <f>COUNTIF($K$10:$K$2958,"NO")</f>
        <v>73</v>
      </c>
      <c r="M8" s="111" t="s">
        <v>47</v>
      </c>
      <c r="N8" s="111"/>
      <c r="P8" s="111" t="s">
        <v>48</v>
      </c>
      <c r="Q8" s="111"/>
      <c r="R8" s="111"/>
    </row>
    <row r="9" spans="1:18" x14ac:dyDescent="0.25">
      <c r="A9" s="111" t="s">
        <v>34</v>
      </c>
      <c r="B9" s="111"/>
      <c r="C9" s="73">
        <f>COUNTIF($C$10:$C$2958,"YES")</f>
        <v>3</v>
      </c>
      <c r="E9" s="111" t="s">
        <v>38</v>
      </c>
      <c r="F9" s="111"/>
      <c r="G9" s="72">
        <f>COUNTIF($G$10:$G$2958,"YES")</f>
        <v>19</v>
      </c>
      <c r="I9" s="111" t="s">
        <v>39</v>
      </c>
      <c r="J9" s="111"/>
      <c r="K9" s="72">
        <f>COUNTIF($K$10:$K$2958,"YES")</f>
        <v>15</v>
      </c>
      <c r="M9" s="69" t="s">
        <v>50</v>
      </c>
      <c r="N9">
        <f ca="1">A8+E8+I8</f>
        <v>85486</v>
      </c>
      <c r="P9" s="69" t="s">
        <v>46</v>
      </c>
      <c r="Q9" s="69" t="s">
        <v>25</v>
      </c>
      <c r="R9" s="69" t="s">
        <v>26</v>
      </c>
    </row>
    <row r="10" spans="1:18" x14ac:dyDescent="0.25">
      <c r="A10" s="71">
        <f>D2</f>
        <v>44866</v>
      </c>
      <c r="B10">
        <f ca="1">IF($D$5=1000,VLOOKUP($B$3,one[],2,1),IF($D$5=2000,VLOOKUP($B$3,two[],2,1),IF($D$5=3000,VLOOKUP($B$3,three[],2,1),IF($D$5=4000,VLOOKUP($B$3,four[],2,1),VLOOKUP($B$3,five[],2,1)))))</f>
        <v>577</v>
      </c>
      <c r="C10" t="s">
        <v>41</v>
      </c>
      <c r="E10" s="71">
        <f>D2</f>
        <v>44866</v>
      </c>
      <c r="F10">
        <f ca="1">IF($D$5=1000,VLOOKUP($B$3,one[],3,1),IF($D$5=2000,VLOOKUP($B$3,two[],3,1),IF($D$5=3000,VLOOKUP($B$3,three[],3,1),IF($D$5=4000,VLOOKUP($B$3,four[],3,1),VLOOKUP($B$3,five[],3,1)))))</f>
        <v>1720</v>
      </c>
      <c r="G10" t="s">
        <v>40</v>
      </c>
      <c r="I10" s="71">
        <f>D2</f>
        <v>44866</v>
      </c>
      <c r="J10">
        <f ca="1">IF($D$5=1000,VLOOKUP($B$3,one[],4,1),IF($D$5=2000,VLOOKUP($B$3,two[],4,1),IF($D$5=3000,VLOOKUP($B$3,three[],4,1),IF($D$5=4000,VLOOKUP($B$3,four[],4,1),VLOOKUP($B$3,five[],4,1)))))</f>
        <v>3405</v>
      </c>
      <c r="K10" t="s">
        <v>40</v>
      </c>
      <c r="M10" s="69" t="s">
        <v>49</v>
      </c>
      <c r="N10">
        <f>E5</f>
        <v>850000</v>
      </c>
      <c r="P10">
        <f ca="1">A8</f>
        <v>1731</v>
      </c>
      <c r="Q10">
        <f ca="1">E8</f>
        <v>32680</v>
      </c>
      <c r="R10">
        <f ca="1">I8</f>
        <v>51075</v>
      </c>
    </row>
    <row r="11" spans="1:18" x14ac:dyDescent="0.25">
      <c r="A11" s="71">
        <f>A10+30</f>
        <v>44896</v>
      </c>
      <c r="B11">
        <f ca="1">B10</f>
        <v>577</v>
      </c>
      <c r="C11" t="s">
        <v>41</v>
      </c>
      <c r="E11" s="71">
        <f>E10+90</f>
        <v>44956</v>
      </c>
      <c r="F11">
        <f ca="1">F10</f>
        <v>1720</v>
      </c>
      <c r="G11" t="s">
        <v>41</v>
      </c>
      <c r="I11" s="71">
        <f>I10+180</f>
        <v>45046</v>
      </c>
      <c r="J11">
        <f ca="1">J10</f>
        <v>3405</v>
      </c>
      <c r="K11" t="s">
        <v>40</v>
      </c>
    </row>
    <row r="12" spans="1:18" x14ac:dyDescent="0.25">
      <c r="A12" s="71">
        <f t="shared" ref="A12:A75" si="0">A11+30</f>
        <v>44926</v>
      </c>
      <c r="B12">
        <f t="shared" ref="B12:B75" ca="1" si="1">B11</f>
        <v>577</v>
      </c>
      <c r="C12" t="s">
        <v>41</v>
      </c>
      <c r="E12" s="71">
        <f t="shared" ref="E12:E75" si="2">E11+90</f>
        <v>45046</v>
      </c>
      <c r="F12">
        <f t="shared" ref="F12:F75" ca="1" si="3">F11</f>
        <v>1720</v>
      </c>
      <c r="G12" t="s">
        <v>41</v>
      </c>
      <c r="I12" s="71">
        <f t="shared" ref="I12:I76" si="4">I11+180</f>
        <v>45226</v>
      </c>
      <c r="J12">
        <f t="shared" ref="J12:J75" ca="1" si="5">J11</f>
        <v>3405</v>
      </c>
      <c r="K12" t="s">
        <v>40</v>
      </c>
      <c r="M12" s="111" t="s">
        <v>52</v>
      </c>
      <c r="N12" s="112"/>
    </row>
    <row r="13" spans="1:18" x14ac:dyDescent="0.25">
      <c r="A13" s="71">
        <f t="shared" si="0"/>
        <v>44956</v>
      </c>
      <c r="B13">
        <f t="shared" ca="1" si="1"/>
        <v>577</v>
      </c>
      <c r="C13" t="s">
        <v>40</v>
      </c>
      <c r="E13" s="71">
        <f t="shared" si="2"/>
        <v>45136</v>
      </c>
      <c r="F13">
        <f t="shared" ca="1" si="3"/>
        <v>1720</v>
      </c>
      <c r="G13" t="s">
        <v>41</v>
      </c>
      <c r="I13" s="71">
        <f t="shared" si="4"/>
        <v>45406</v>
      </c>
      <c r="J13">
        <f t="shared" ca="1" si="5"/>
        <v>3405</v>
      </c>
      <c r="K13" t="s">
        <v>40</v>
      </c>
      <c r="M13" s="69" t="s">
        <v>46</v>
      </c>
      <c r="N13">
        <f>C9/12</f>
        <v>0.25</v>
      </c>
    </row>
    <row r="14" spans="1:18" x14ac:dyDescent="0.25">
      <c r="A14" s="71">
        <f t="shared" si="0"/>
        <v>44986</v>
      </c>
      <c r="B14">
        <f t="shared" ca="1" si="1"/>
        <v>577</v>
      </c>
      <c r="C14" t="s">
        <v>40</v>
      </c>
      <c r="E14" s="71">
        <f t="shared" si="2"/>
        <v>45226</v>
      </c>
      <c r="F14">
        <f t="shared" ca="1" si="3"/>
        <v>1720</v>
      </c>
      <c r="G14" t="s">
        <v>41</v>
      </c>
      <c r="I14" s="71">
        <f t="shared" si="4"/>
        <v>45586</v>
      </c>
      <c r="J14">
        <f t="shared" ca="1" si="5"/>
        <v>3405</v>
      </c>
      <c r="K14" t="s">
        <v>40</v>
      </c>
      <c r="M14" s="69" t="s">
        <v>25</v>
      </c>
      <c r="N14">
        <f>G9/4</f>
        <v>4.75</v>
      </c>
    </row>
    <row r="15" spans="1:18" x14ac:dyDescent="0.25">
      <c r="A15" s="71">
        <f t="shared" si="0"/>
        <v>45016</v>
      </c>
      <c r="B15">
        <f t="shared" ca="1" si="1"/>
        <v>577</v>
      </c>
      <c r="C15" t="s">
        <v>40</v>
      </c>
      <c r="E15" s="71">
        <f t="shared" si="2"/>
        <v>45316</v>
      </c>
      <c r="F15">
        <f t="shared" ca="1" si="3"/>
        <v>1720</v>
      </c>
      <c r="G15" t="s">
        <v>41</v>
      </c>
      <c r="I15" s="71">
        <f t="shared" si="4"/>
        <v>45766</v>
      </c>
      <c r="J15">
        <f t="shared" ca="1" si="5"/>
        <v>3405</v>
      </c>
      <c r="K15" t="s">
        <v>41</v>
      </c>
      <c r="M15" s="69" t="s">
        <v>26</v>
      </c>
      <c r="N15">
        <f>K9/2</f>
        <v>7.5</v>
      </c>
    </row>
    <row r="16" spans="1:18" x14ac:dyDescent="0.25">
      <c r="A16" s="71">
        <f t="shared" si="0"/>
        <v>45046</v>
      </c>
      <c r="B16">
        <f t="shared" ca="1" si="1"/>
        <v>577</v>
      </c>
      <c r="C16" t="s">
        <v>40</v>
      </c>
      <c r="E16" s="71">
        <f t="shared" si="2"/>
        <v>45406</v>
      </c>
      <c r="F16">
        <f t="shared" ca="1" si="3"/>
        <v>1720</v>
      </c>
      <c r="G16" t="s">
        <v>41</v>
      </c>
      <c r="I16" s="71">
        <f t="shared" si="4"/>
        <v>45946</v>
      </c>
      <c r="J16">
        <f t="shared" ca="1" si="5"/>
        <v>3405</v>
      </c>
      <c r="K16" t="s">
        <v>41</v>
      </c>
      <c r="M16" s="69" t="s">
        <v>54</v>
      </c>
      <c r="N16">
        <f>SUM(N13:N15)</f>
        <v>12.5</v>
      </c>
    </row>
    <row r="17" spans="1:14" x14ac:dyDescent="0.25">
      <c r="A17" s="71">
        <f t="shared" si="0"/>
        <v>45076</v>
      </c>
      <c r="B17">
        <f t="shared" ca="1" si="1"/>
        <v>577</v>
      </c>
      <c r="C17" t="s">
        <v>40</v>
      </c>
      <c r="E17" s="71">
        <f t="shared" si="2"/>
        <v>45496</v>
      </c>
      <c r="F17">
        <f t="shared" ca="1" si="3"/>
        <v>1720</v>
      </c>
      <c r="G17" t="s">
        <v>41</v>
      </c>
      <c r="I17" s="71">
        <f t="shared" si="4"/>
        <v>46126</v>
      </c>
      <c r="J17">
        <f t="shared" ca="1" si="5"/>
        <v>3405</v>
      </c>
      <c r="K17" t="s">
        <v>41</v>
      </c>
      <c r="M17" s="69" t="s">
        <v>53</v>
      </c>
      <c r="N17">
        <f ca="1">B4-N16</f>
        <v>17.5</v>
      </c>
    </row>
    <row r="18" spans="1:14" x14ac:dyDescent="0.25">
      <c r="A18" s="71">
        <f t="shared" si="0"/>
        <v>45106</v>
      </c>
      <c r="B18">
        <f t="shared" ca="1" si="1"/>
        <v>577</v>
      </c>
      <c r="C18" t="s">
        <v>40</v>
      </c>
      <c r="E18" s="71">
        <f t="shared" si="2"/>
        <v>45586</v>
      </c>
      <c r="F18">
        <f t="shared" ca="1" si="3"/>
        <v>1720</v>
      </c>
      <c r="G18" t="s">
        <v>41</v>
      </c>
      <c r="I18" s="71">
        <f t="shared" si="4"/>
        <v>46306</v>
      </c>
      <c r="J18">
        <f t="shared" ca="1" si="5"/>
        <v>3405</v>
      </c>
      <c r="K18" t="s">
        <v>41</v>
      </c>
    </row>
    <row r="19" spans="1:14" x14ac:dyDescent="0.25">
      <c r="A19" s="71">
        <f t="shared" si="0"/>
        <v>45136</v>
      </c>
      <c r="B19">
        <f t="shared" ca="1" si="1"/>
        <v>577</v>
      </c>
      <c r="C19" t="s">
        <v>40</v>
      </c>
      <c r="E19" s="71">
        <f t="shared" si="2"/>
        <v>45676</v>
      </c>
      <c r="F19">
        <f t="shared" ca="1" si="3"/>
        <v>1720</v>
      </c>
      <c r="G19" t="s">
        <v>41</v>
      </c>
      <c r="I19" s="71">
        <f t="shared" si="4"/>
        <v>46486</v>
      </c>
      <c r="J19">
        <f t="shared" ca="1" si="5"/>
        <v>3405</v>
      </c>
      <c r="K19" t="s">
        <v>41</v>
      </c>
    </row>
    <row r="20" spans="1:14" x14ac:dyDescent="0.25">
      <c r="A20" s="71">
        <f t="shared" si="0"/>
        <v>45166</v>
      </c>
      <c r="B20">
        <f t="shared" ca="1" si="1"/>
        <v>577</v>
      </c>
      <c r="C20" t="s">
        <v>40</v>
      </c>
      <c r="E20" s="71">
        <f t="shared" si="2"/>
        <v>45766</v>
      </c>
      <c r="F20">
        <f t="shared" ca="1" si="3"/>
        <v>1720</v>
      </c>
      <c r="G20" t="s">
        <v>40</v>
      </c>
      <c r="I20" s="71">
        <f t="shared" si="4"/>
        <v>46666</v>
      </c>
      <c r="J20">
        <f t="shared" ca="1" si="5"/>
        <v>3405</v>
      </c>
      <c r="K20" t="s">
        <v>41</v>
      </c>
    </row>
    <row r="21" spans="1:14" x14ac:dyDescent="0.25">
      <c r="A21" s="71">
        <f t="shared" si="0"/>
        <v>45196</v>
      </c>
      <c r="B21">
        <f t="shared" ca="1" si="1"/>
        <v>577</v>
      </c>
      <c r="C21" t="s">
        <v>40</v>
      </c>
      <c r="E21" s="71">
        <f t="shared" si="2"/>
        <v>45856</v>
      </c>
      <c r="F21">
        <f t="shared" ca="1" si="3"/>
        <v>1720</v>
      </c>
      <c r="G21" t="s">
        <v>40</v>
      </c>
      <c r="I21" s="71">
        <f t="shared" si="4"/>
        <v>46846</v>
      </c>
      <c r="J21">
        <f t="shared" ca="1" si="5"/>
        <v>3405</v>
      </c>
      <c r="K21" t="s">
        <v>41</v>
      </c>
    </row>
    <row r="22" spans="1:14" x14ac:dyDescent="0.25">
      <c r="A22" s="71">
        <f t="shared" si="0"/>
        <v>45226</v>
      </c>
      <c r="B22">
        <f t="shared" ca="1" si="1"/>
        <v>577</v>
      </c>
      <c r="C22" t="s">
        <v>40</v>
      </c>
      <c r="E22" s="71">
        <f t="shared" si="2"/>
        <v>45946</v>
      </c>
      <c r="F22">
        <f t="shared" ca="1" si="3"/>
        <v>1720</v>
      </c>
      <c r="G22" t="s">
        <v>40</v>
      </c>
      <c r="I22" s="71">
        <f t="shared" si="4"/>
        <v>47026</v>
      </c>
      <c r="J22">
        <f t="shared" ca="1" si="5"/>
        <v>3405</v>
      </c>
      <c r="K22" t="s">
        <v>41</v>
      </c>
    </row>
    <row r="23" spans="1:14" x14ac:dyDescent="0.25">
      <c r="A23" s="71">
        <f t="shared" si="0"/>
        <v>45256</v>
      </c>
      <c r="B23">
        <f t="shared" ca="1" si="1"/>
        <v>577</v>
      </c>
      <c r="C23" t="s">
        <v>40</v>
      </c>
      <c r="E23" s="71">
        <f t="shared" si="2"/>
        <v>46036</v>
      </c>
      <c r="F23">
        <f t="shared" ca="1" si="3"/>
        <v>1720</v>
      </c>
      <c r="G23" t="s">
        <v>40</v>
      </c>
      <c r="I23" s="71">
        <f t="shared" si="4"/>
        <v>47206</v>
      </c>
      <c r="J23">
        <f t="shared" ca="1" si="5"/>
        <v>3405</v>
      </c>
      <c r="K23" t="s">
        <v>41</v>
      </c>
    </row>
    <row r="24" spans="1:14" x14ac:dyDescent="0.25">
      <c r="A24" s="71">
        <f t="shared" si="0"/>
        <v>45286</v>
      </c>
      <c r="B24">
        <f t="shared" ca="1" si="1"/>
        <v>577</v>
      </c>
      <c r="C24" t="s">
        <v>40</v>
      </c>
      <c r="E24" s="71">
        <f t="shared" si="2"/>
        <v>46126</v>
      </c>
      <c r="F24">
        <f t="shared" ca="1" si="3"/>
        <v>1720</v>
      </c>
      <c r="G24" t="s">
        <v>40</v>
      </c>
      <c r="I24" s="71">
        <f t="shared" si="4"/>
        <v>47386</v>
      </c>
      <c r="J24">
        <f t="shared" ca="1" si="5"/>
        <v>3405</v>
      </c>
      <c r="K24" t="s">
        <v>41</v>
      </c>
    </row>
    <row r="25" spans="1:14" x14ac:dyDescent="0.25">
      <c r="A25" s="71">
        <f t="shared" si="0"/>
        <v>45316</v>
      </c>
      <c r="B25">
        <f t="shared" ca="1" si="1"/>
        <v>577</v>
      </c>
      <c r="C25" t="s">
        <v>40</v>
      </c>
      <c r="E25" s="71">
        <f t="shared" si="2"/>
        <v>46216</v>
      </c>
      <c r="F25">
        <f t="shared" ca="1" si="3"/>
        <v>1720</v>
      </c>
      <c r="G25" t="s">
        <v>40</v>
      </c>
      <c r="I25" s="71">
        <f t="shared" si="4"/>
        <v>47566</v>
      </c>
      <c r="J25">
        <f t="shared" ca="1" si="5"/>
        <v>3405</v>
      </c>
      <c r="K25" t="s">
        <v>41</v>
      </c>
    </row>
    <row r="26" spans="1:14" x14ac:dyDescent="0.25">
      <c r="A26" s="71">
        <f t="shared" si="0"/>
        <v>45346</v>
      </c>
      <c r="B26">
        <f t="shared" ca="1" si="1"/>
        <v>577</v>
      </c>
      <c r="C26" t="s">
        <v>40</v>
      </c>
      <c r="E26" s="71">
        <f t="shared" si="2"/>
        <v>46306</v>
      </c>
      <c r="F26">
        <f t="shared" ca="1" si="3"/>
        <v>1720</v>
      </c>
      <c r="G26" t="s">
        <v>40</v>
      </c>
      <c r="I26" s="71">
        <f>I25+180</f>
        <v>47746</v>
      </c>
      <c r="J26">
        <f t="shared" ca="1" si="5"/>
        <v>3405</v>
      </c>
      <c r="K26" t="s">
        <v>41</v>
      </c>
    </row>
    <row r="27" spans="1:14" x14ac:dyDescent="0.25">
      <c r="A27" s="71">
        <f t="shared" si="0"/>
        <v>45376</v>
      </c>
      <c r="B27">
        <f t="shared" ca="1" si="1"/>
        <v>577</v>
      </c>
      <c r="C27" t="s">
        <v>40</v>
      </c>
      <c r="E27" s="71">
        <f t="shared" si="2"/>
        <v>46396</v>
      </c>
      <c r="F27">
        <f t="shared" ca="1" si="3"/>
        <v>1720</v>
      </c>
      <c r="G27" t="s">
        <v>40</v>
      </c>
      <c r="I27" s="71">
        <f t="shared" si="4"/>
        <v>47926</v>
      </c>
      <c r="J27">
        <f t="shared" ca="1" si="5"/>
        <v>3405</v>
      </c>
      <c r="K27" t="s">
        <v>41</v>
      </c>
    </row>
    <row r="28" spans="1:14" x14ac:dyDescent="0.25">
      <c r="A28" s="71">
        <f t="shared" si="0"/>
        <v>45406</v>
      </c>
      <c r="B28">
        <f t="shared" ca="1" si="1"/>
        <v>577</v>
      </c>
      <c r="C28" t="s">
        <v>40</v>
      </c>
      <c r="E28" s="71">
        <f t="shared" si="2"/>
        <v>46486</v>
      </c>
      <c r="F28">
        <f t="shared" ca="1" si="3"/>
        <v>1720</v>
      </c>
      <c r="G28" t="s">
        <v>40</v>
      </c>
      <c r="I28" s="71">
        <f t="shared" si="4"/>
        <v>48106</v>
      </c>
      <c r="J28">
        <f t="shared" ca="1" si="5"/>
        <v>3405</v>
      </c>
      <c r="K28" t="s">
        <v>41</v>
      </c>
    </row>
    <row r="29" spans="1:14" x14ac:dyDescent="0.25">
      <c r="A29" s="71">
        <f t="shared" si="0"/>
        <v>45436</v>
      </c>
      <c r="B29">
        <f t="shared" ca="1" si="1"/>
        <v>577</v>
      </c>
      <c r="C29" t="s">
        <v>40</v>
      </c>
      <c r="E29" s="71">
        <f t="shared" si="2"/>
        <v>46576</v>
      </c>
      <c r="F29">
        <f t="shared" ca="1" si="3"/>
        <v>1720</v>
      </c>
      <c r="G29" t="s">
        <v>40</v>
      </c>
      <c r="I29" s="71">
        <f t="shared" si="4"/>
        <v>48286</v>
      </c>
      <c r="J29">
        <f t="shared" ca="1" si="5"/>
        <v>3405</v>
      </c>
      <c r="K29" t="s">
        <v>41</v>
      </c>
    </row>
    <row r="30" spans="1:14" x14ac:dyDescent="0.25">
      <c r="A30" s="71">
        <f t="shared" si="0"/>
        <v>45466</v>
      </c>
      <c r="B30">
        <f t="shared" ca="1" si="1"/>
        <v>577</v>
      </c>
      <c r="C30" t="s">
        <v>40</v>
      </c>
      <c r="E30" s="71">
        <f t="shared" si="2"/>
        <v>46666</v>
      </c>
      <c r="F30">
        <f t="shared" ca="1" si="3"/>
        <v>1720</v>
      </c>
      <c r="G30" t="s">
        <v>40</v>
      </c>
      <c r="I30" s="71">
        <f t="shared" si="4"/>
        <v>48466</v>
      </c>
      <c r="J30">
        <f t="shared" ca="1" si="5"/>
        <v>3405</v>
      </c>
      <c r="K30" t="s">
        <v>40</v>
      </c>
    </row>
    <row r="31" spans="1:14" x14ac:dyDescent="0.25">
      <c r="A31" s="71">
        <f t="shared" si="0"/>
        <v>45496</v>
      </c>
      <c r="B31">
        <f t="shared" ca="1" si="1"/>
        <v>577</v>
      </c>
      <c r="C31" t="s">
        <v>40</v>
      </c>
      <c r="E31" s="71">
        <f t="shared" si="2"/>
        <v>46756</v>
      </c>
      <c r="F31">
        <f t="shared" ca="1" si="3"/>
        <v>1720</v>
      </c>
      <c r="G31" t="s">
        <v>40</v>
      </c>
      <c r="I31" s="71">
        <f t="shared" si="4"/>
        <v>48646</v>
      </c>
      <c r="J31">
        <f t="shared" ca="1" si="5"/>
        <v>3405</v>
      </c>
      <c r="K31" t="s">
        <v>40</v>
      </c>
    </row>
    <row r="32" spans="1:14" x14ac:dyDescent="0.25">
      <c r="A32" s="71">
        <f t="shared" si="0"/>
        <v>45526</v>
      </c>
      <c r="B32">
        <f t="shared" ca="1" si="1"/>
        <v>577</v>
      </c>
      <c r="C32" t="s">
        <v>40</v>
      </c>
      <c r="E32" s="71">
        <f t="shared" si="2"/>
        <v>46846</v>
      </c>
      <c r="F32">
        <f t="shared" ca="1" si="3"/>
        <v>1720</v>
      </c>
      <c r="G32" t="s">
        <v>40</v>
      </c>
      <c r="I32" s="71">
        <f t="shared" si="4"/>
        <v>48826</v>
      </c>
      <c r="J32">
        <f t="shared" ca="1" si="5"/>
        <v>3405</v>
      </c>
      <c r="K32" t="s">
        <v>40</v>
      </c>
    </row>
    <row r="33" spans="1:11" x14ac:dyDescent="0.25">
      <c r="A33" s="71">
        <f t="shared" si="0"/>
        <v>45556</v>
      </c>
      <c r="B33">
        <f t="shared" ca="1" si="1"/>
        <v>577</v>
      </c>
      <c r="C33" t="s">
        <v>40</v>
      </c>
      <c r="E33" s="71">
        <f t="shared" si="2"/>
        <v>46936</v>
      </c>
      <c r="F33">
        <f t="shared" ca="1" si="3"/>
        <v>1720</v>
      </c>
      <c r="G33" t="s">
        <v>40</v>
      </c>
      <c r="I33" s="71">
        <f t="shared" si="4"/>
        <v>49006</v>
      </c>
      <c r="J33">
        <f t="shared" ca="1" si="5"/>
        <v>3405</v>
      </c>
      <c r="K33" t="s">
        <v>40</v>
      </c>
    </row>
    <row r="34" spans="1:11" x14ac:dyDescent="0.25">
      <c r="A34" s="71">
        <f t="shared" si="0"/>
        <v>45586</v>
      </c>
      <c r="B34">
        <f t="shared" ca="1" si="1"/>
        <v>577</v>
      </c>
      <c r="C34" t="s">
        <v>40</v>
      </c>
      <c r="E34" s="71">
        <f t="shared" si="2"/>
        <v>47026</v>
      </c>
      <c r="F34">
        <f t="shared" ca="1" si="3"/>
        <v>1720</v>
      </c>
      <c r="G34" t="s">
        <v>40</v>
      </c>
      <c r="I34" s="71">
        <f t="shared" si="4"/>
        <v>49186</v>
      </c>
      <c r="J34">
        <f t="shared" ca="1" si="5"/>
        <v>3405</v>
      </c>
      <c r="K34" t="s">
        <v>40</v>
      </c>
    </row>
    <row r="35" spans="1:11" x14ac:dyDescent="0.25">
      <c r="A35" s="71">
        <f t="shared" si="0"/>
        <v>45616</v>
      </c>
      <c r="B35">
        <f t="shared" ca="1" si="1"/>
        <v>577</v>
      </c>
      <c r="C35" t="s">
        <v>40</v>
      </c>
      <c r="E35" s="71">
        <f t="shared" si="2"/>
        <v>47116</v>
      </c>
      <c r="F35">
        <f t="shared" ca="1" si="3"/>
        <v>1720</v>
      </c>
      <c r="G35" t="s">
        <v>40</v>
      </c>
      <c r="I35" s="71">
        <f t="shared" si="4"/>
        <v>49366</v>
      </c>
      <c r="J35">
        <f t="shared" ca="1" si="5"/>
        <v>3405</v>
      </c>
      <c r="K35" t="s">
        <v>40</v>
      </c>
    </row>
    <row r="36" spans="1:11" x14ac:dyDescent="0.25">
      <c r="A36" s="71">
        <f t="shared" si="0"/>
        <v>45646</v>
      </c>
      <c r="B36">
        <f t="shared" ca="1" si="1"/>
        <v>577</v>
      </c>
      <c r="C36" t="s">
        <v>40</v>
      </c>
      <c r="E36" s="71">
        <f t="shared" si="2"/>
        <v>47206</v>
      </c>
      <c r="F36">
        <f t="shared" ca="1" si="3"/>
        <v>1720</v>
      </c>
      <c r="G36" t="s">
        <v>40</v>
      </c>
      <c r="I36" s="71">
        <f t="shared" si="4"/>
        <v>49546</v>
      </c>
      <c r="J36">
        <f t="shared" ca="1" si="5"/>
        <v>3405</v>
      </c>
      <c r="K36" t="s">
        <v>40</v>
      </c>
    </row>
    <row r="37" spans="1:11" x14ac:dyDescent="0.25">
      <c r="A37" s="71">
        <f t="shared" si="0"/>
        <v>45676</v>
      </c>
      <c r="B37">
        <f t="shared" ca="1" si="1"/>
        <v>577</v>
      </c>
      <c r="C37" t="s">
        <v>40</v>
      </c>
      <c r="E37" s="71">
        <f t="shared" si="2"/>
        <v>47296</v>
      </c>
      <c r="F37">
        <f t="shared" ca="1" si="3"/>
        <v>1720</v>
      </c>
      <c r="G37" t="s">
        <v>40</v>
      </c>
      <c r="I37" s="71">
        <f t="shared" si="4"/>
        <v>49726</v>
      </c>
      <c r="J37">
        <f t="shared" ca="1" si="5"/>
        <v>3405</v>
      </c>
      <c r="K37" t="s">
        <v>40</v>
      </c>
    </row>
    <row r="38" spans="1:11" x14ac:dyDescent="0.25">
      <c r="A38" s="71">
        <f t="shared" si="0"/>
        <v>45706</v>
      </c>
      <c r="B38">
        <f t="shared" ca="1" si="1"/>
        <v>577</v>
      </c>
      <c r="C38" t="s">
        <v>40</v>
      </c>
      <c r="E38" s="71">
        <f t="shared" si="2"/>
        <v>47386</v>
      </c>
      <c r="F38">
        <f t="shared" ca="1" si="3"/>
        <v>1720</v>
      </c>
      <c r="G38" t="s">
        <v>40</v>
      </c>
      <c r="I38" s="71">
        <f t="shared" si="4"/>
        <v>49906</v>
      </c>
      <c r="J38">
        <f t="shared" ca="1" si="5"/>
        <v>3405</v>
      </c>
      <c r="K38" t="s">
        <v>40</v>
      </c>
    </row>
    <row r="39" spans="1:11" x14ac:dyDescent="0.25">
      <c r="A39" s="71">
        <f t="shared" si="0"/>
        <v>45736</v>
      </c>
      <c r="B39">
        <f t="shared" ca="1" si="1"/>
        <v>577</v>
      </c>
      <c r="C39" t="s">
        <v>40</v>
      </c>
      <c r="E39" s="71">
        <f t="shared" si="2"/>
        <v>47476</v>
      </c>
      <c r="F39">
        <f t="shared" ca="1" si="3"/>
        <v>1720</v>
      </c>
      <c r="G39" t="s">
        <v>40</v>
      </c>
      <c r="I39" s="71">
        <f t="shared" si="4"/>
        <v>50086</v>
      </c>
      <c r="J39">
        <f t="shared" ca="1" si="5"/>
        <v>3405</v>
      </c>
      <c r="K39" t="s">
        <v>40</v>
      </c>
    </row>
    <row r="40" spans="1:11" x14ac:dyDescent="0.25">
      <c r="A40" s="71">
        <f t="shared" si="0"/>
        <v>45766</v>
      </c>
      <c r="B40">
        <f t="shared" ca="1" si="1"/>
        <v>577</v>
      </c>
      <c r="C40" t="s">
        <v>40</v>
      </c>
      <c r="E40" s="71">
        <f t="shared" si="2"/>
        <v>47566</v>
      </c>
      <c r="F40">
        <f t="shared" ca="1" si="3"/>
        <v>1720</v>
      </c>
      <c r="G40" t="s">
        <v>40</v>
      </c>
      <c r="I40" s="71">
        <f t="shared" si="4"/>
        <v>50266</v>
      </c>
      <c r="J40">
        <f t="shared" ca="1" si="5"/>
        <v>3405</v>
      </c>
      <c r="K40" t="s">
        <v>40</v>
      </c>
    </row>
    <row r="41" spans="1:11" x14ac:dyDescent="0.25">
      <c r="A41" s="71">
        <f t="shared" si="0"/>
        <v>45796</v>
      </c>
      <c r="B41">
        <f t="shared" ca="1" si="1"/>
        <v>577</v>
      </c>
      <c r="C41" t="s">
        <v>40</v>
      </c>
      <c r="E41" s="71">
        <f t="shared" si="2"/>
        <v>47656</v>
      </c>
      <c r="F41">
        <f t="shared" ca="1" si="3"/>
        <v>1720</v>
      </c>
      <c r="G41" t="s">
        <v>40</v>
      </c>
      <c r="I41" s="71">
        <f t="shared" si="4"/>
        <v>50446</v>
      </c>
      <c r="J41">
        <f t="shared" ca="1" si="5"/>
        <v>3405</v>
      </c>
      <c r="K41" t="s">
        <v>40</v>
      </c>
    </row>
    <row r="42" spans="1:11" x14ac:dyDescent="0.25">
      <c r="A42" s="71">
        <f t="shared" si="0"/>
        <v>45826</v>
      </c>
      <c r="B42">
        <f t="shared" ca="1" si="1"/>
        <v>577</v>
      </c>
      <c r="C42" t="s">
        <v>40</v>
      </c>
      <c r="E42" s="71">
        <f t="shared" si="2"/>
        <v>47746</v>
      </c>
      <c r="F42">
        <f t="shared" ca="1" si="3"/>
        <v>1720</v>
      </c>
      <c r="G42" t="s">
        <v>40</v>
      </c>
      <c r="I42" s="71">
        <f t="shared" si="4"/>
        <v>50626</v>
      </c>
      <c r="J42">
        <f t="shared" ca="1" si="5"/>
        <v>3405</v>
      </c>
      <c r="K42" t="s">
        <v>40</v>
      </c>
    </row>
    <row r="43" spans="1:11" x14ac:dyDescent="0.25">
      <c r="A43" s="71">
        <f t="shared" si="0"/>
        <v>45856</v>
      </c>
      <c r="B43">
        <f t="shared" ca="1" si="1"/>
        <v>577</v>
      </c>
      <c r="C43" t="s">
        <v>40</v>
      </c>
      <c r="E43" s="71">
        <f t="shared" si="2"/>
        <v>47836</v>
      </c>
      <c r="F43">
        <f t="shared" ca="1" si="3"/>
        <v>1720</v>
      </c>
      <c r="G43" t="s">
        <v>40</v>
      </c>
      <c r="I43" s="71">
        <f t="shared" si="4"/>
        <v>50806</v>
      </c>
      <c r="J43">
        <f t="shared" ca="1" si="5"/>
        <v>3405</v>
      </c>
      <c r="K43" t="s">
        <v>40</v>
      </c>
    </row>
    <row r="44" spans="1:11" x14ac:dyDescent="0.25">
      <c r="A44" s="71">
        <f t="shared" si="0"/>
        <v>45886</v>
      </c>
      <c r="B44">
        <f t="shared" ca="1" si="1"/>
        <v>577</v>
      </c>
      <c r="C44" t="s">
        <v>40</v>
      </c>
      <c r="E44" s="71">
        <f t="shared" si="2"/>
        <v>47926</v>
      </c>
      <c r="F44">
        <f t="shared" ca="1" si="3"/>
        <v>1720</v>
      </c>
      <c r="G44" t="s">
        <v>40</v>
      </c>
      <c r="I44" s="71">
        <f t="shared" si="4"/>
        <v>50986</v>
      </c>
      <c r="J44">
        <f t="shared" ca="1" si="5"/>
        <v>3405</v>
      </c>
      <c r="K44" t="s">
        <v>40</v>
      </c>
    </row>
    <row r="45" spans="1:11" x14ac:dyDescent="0.25">
      <c r="A45" s="71">
        <f t="shared" si="0"/>
        <v>45916</v>
      </c>
      <c r="B45">
        <f t="shared" ca="1" si="1"/>
        <v>577</v>
      </c>
      <c r="C45" t="s">
        <v>40</v>
      </c>
      <c r="E45" s="71">
        <f t="shared" si="2"/>
        <v>48016</v>
      </c>
      <c r="F45">
        <f t="shared" ca="1" si="3"/>
        <v>1720</v>
      </c>
      <c r="G45" t="s">
        <v>40</v>
      </c>
      <c r="I45" s="71">
        <f t="shared" si="4"/>
        <v>51166</v>
      </c>
      <c r="J45">
        <f t="shared" ca="1" si="5"/>
        <v>3405</v>
      </c>
      <c r="K45" t="s">
        <v>40</v>
      </c>
    </row>
    <row r="46" spans="1:11" x14ac:dyDescent="0.25">
      <c r="A46" s="71">
        <f t="shared" si="0"/>
        <v>45946</v>
      </c>
      <c r="B46">
        <f t="shared" ca="1" si="1"/>
        <v>577</v>
      </c>
      <c r="C46" t="s">
        <v>40</v>
      </c>
      <c r="E46" s="71">
        <f t="shared" si="2"/>
        <v>48106</v>
      </c>
      <c r="F46">
        <f t="shared" ca="1" si="3"/>
        <v>1720</v>
      </c>
      <c r="G46" t="s">
        <v>40</v>
      </c>
      <c r="I46" s="71">
        <f t="shared" si="4"/>
        <v>51346</v>
      </c>
      <c r="J46">
        <f t="shared" ca="1" si="5"/>
        <v>3405</v>
      </c>
      <c r="K46" t="s">
        <v>40</v>
      </c>
    </row>
    <row r="47" spans="1:11" x14ac:dyDescent="0.25">
      <c r="A47" s="71">
        <f t="shared" si="0"/>
        <v>45976</v>
      </c>
      <c r="B47">
        <f t="shared" ca="1" si="1"/>
        <v>577</v>
      </c>
      <c r="C47" t="s">
        <v>40</v>
      </c>
      <c r="E47" s="71">
        <f t="shared" si="2"/>
        <v>48196</v>
      </c>
      <c r="F47">
        <f t="shared" ca="1" si="3"/>
        <v>1720</v>
      </c>
      <c r="G47" t="s">
        <v>40</v>
      </c>
      <c r="I47" s="71">
        <f t="shared" si="4"/>
        <v>51526</v>
      </c>
      <c r="J47">
        <f t="shared" ca="1" si="5"/>
        <v>3405</v>
      </c>
      <c r="K47" t="s">
        <v>40</v>
      </c>
    </row>
    <row r="48" spans="1:11" x14ac:dyDescent="0.25">
      <c r="A48" s="71">
        <f t="shared" si="0"/>
        <v>46006</v>
      </c>
      <c r="B48">
        <f t="shared" ca="1" si="1"/>
        <v>577</v>
      </c>
      <c r="C48" t="s">
        <v>40</v>
      </c>
      <c r="E48" s="71">
        <f t="shared" si="2"/>
        <v>48286</v>
      </c>
      <c r="F48">
        <f t="shared" ca="1" si="3"/>
        <v>1720</v>
      </c>
      <c r="G48" t="s">
        <v>40</v>
      </c>
      <c r="I48" s="71">
        <f t="shared" si="4"/>
        <v>51706</v>
      </c>
      <c r="J48">
        <f t="shared" ca="1" si="5"/>
        <v>3405</v>
      </c>
      <c r="K48" t="s">
        <v>40</v>
      </c>
    </row>
    <row r="49" spans="1:11" x14ac:dyDescent="0.25">
      <c r="A49" s="71">
        <f t="shared" si="0"/>
        <v>46036</v>
      </c>
      <c r="B49">
        <f t="shared" ca="1" si="1"/>
        <v>577</v>
      </c>
      <c r="C49" t="s">
        <v>40</v>
      </c>
      <c r="E49" s="71">
        <f t="shared" si="2"/>
        <v>48376</v>
      </c>
      <c r="F49">
        <f t="shared" ca="1" si="3"/>
        <v>1720</v>
      </c>
      <c r="G49" t="s">
        <v>40</v>
      </c>
      <c r="I49" s="71">
        <f t="shared" si="4"/>
        <v>51886</v>
      </c>
      <c r="J49">
        <f t="shared" ca="1" si="5"/>
        <v>3405</v>
      </c>
      <c r="K49" t="s">
        <v>40</v>
      </c>
    </row>
    <row r="50" spans="1:11" x14ac:dyDescent="0.25">
      <c r="A50" s="71">
        <f t="shared" si="0"/>
        <v>46066</v>
      </c>
      <c r="B50">
        <f t="shared" ca="1" si="1"/>
        <v>577</v>
      </c>
      <c r="C50" t="s">
        <v>40</v>
      </c>
      <c r="E50" s="71">
        <f t="shared" si="2"/>
        <v>48466</v>
      </c>
      <c r="F50">
        <f t="shared" ca="1" si="3"/>
        <v>1720</v>
      </c>
      <c r="G50" t="s">
        <v>41</v>
      </c>
      <c r="I50" s="71">
        <f t="shared" si="4"/>
        <v>52066</v>
      </c>
      <c r="J50">
        <f t="shared" ca="1" si="5"/>
        <v>3405</v>
      </c>
      <c r="K50" t="s">
        <v>40</v>
      </c>
    </row>
    <row r="51" spans="1:11" x14ac:dyDescent="0.25">
      <c r="A51" s="71">
        <f t="shared" si="0"/>
        <v>46096</v>
      </c>
      <c r="B51">
        <f t="shared" ca="1" si="1"/>
        <v>577</v>
      </c>
      <c r="C51" t="s">
        <v>40</v>
      </c>
      <c r="E51" s="71">
        <f t="shared" si="2"/>
        <v>48556</v>
      </c>
      <c r="F51">
        <f t="shared" ca="1" si="3"/>
        <v>1720</v>
      </c>
      <c r="G51" t="s">
        <v>41</v>
      </c>
      <c r="I51" s="71">
        <f t="shared" si="4"/>
        <v>52246</v>
      </c>
      <c r="J51">
        <f t="shared" ca="1" si="5"/>
        <v>3405</v>
      </c>
      <c r="K51" t="s">
        <v>40</v>
      </c>
    </row>
    <row r="52" spans="1:11" x14ac:dyDescent="0.25">
      <c r="A52" s="71">
        <f t="shared" si="0"/>
        <v>46126</v>
      </c>
      <c r="B52">
        <f t="shared" ca="1" si="1"/>
        <v>577</v>
      </c>
      <c r="C52" t="s">
        <v>40</v>
      </c>
      <c r="E52" s="71">
        <f t="shared" si="2"/>
        <v>48646</v>
      </c>
      <c r="F52">
        <f t="shared" ca="1" si="3"/>
        <v>1720</v>
      </c>
      <c r="G52" t="s">
        <v>41</v>
      </c>
      <c r="I52" s="71">
        <f t="shared" si="4"/>
        <v>52426</v>
      </c>
      <c r="J52">
        <f t="shared" ca="1" si="5"/>
        <v>3405</v>
      </c>
      <c r="K52" t="s">
        <v>40</v>
      </c>
    </row>
    <row r="53" spans="1:11" x14ac:dyDescent="0.25">
      <c r="A53" s="71">
        <f t="shared" si="0"/>
        <v>46156</v>
      </c>
      <c r="B53">
        <f t="shared" ca="1" si="1"/>
        <v>577</v>
      </c>
      <c r="C53" t="s">
        <v>40</v>
      </c>
      <c r="E53" s="71">
        <f t="shared" si="2"/>
        <v>48736</v>
      </c>
      <c r="F53">
        <f t="shared" ca="1" si="3"/>
        <v>1720</v>
      </c>
      <c r="G53" t="s">
        <v>41</v>
      </c>
      <c r="I53" s="71">
        <f t="shared" si="4"/>
        <v>52606</v>
      </c>
      <c r="J53">
        <f t="shared" ca="1" si="5"/>
        <v>3405</v>
      </c>
      <c r="K53" t="s">
        <v>40</v>
      </c>
    </row>
    <row r="54" spans="1:11" x14ac:dyDescent="0.25">
      <c r="A54" s="71">
        <f t="shared" si="0"/>
        <v>46186</v>
      </c>
      <c r="B54">
        <f t="shared" ca="1" si="1"/>
        <v>577</v>
      </c>
      <c r="C54" t="s">
        <v>40</v>
      </c>
      <c r="E54" s="71">
        <f t="shared" si="2"/>
        <v>48826</v>
      </c>
      <c r="F54">
        <f t="shared" ca="1" si="3"/>
        <v>1720</v>
      </c>
      <c r="G54" t="s">
        <v>41</v>
      </c>
      <c r="I54" s="71">
        <f t="shared" si="4"/>
        <v>52786</v>
      </c>
      <c r="J54">
        <f t="shared" ca="1" si="5"/>
        <v>3405</v>
      </c>
      <c r="K54" t="s">
        <v>40</v>
      </c>
    </row>
    <row r="55" spans="1:11" x14ac:dyDescent="0.25">
      <c r="A55" s="71">
        <f t="shared" si="0"/>
        <v>46216</v>
      </c>
      <c r="B55">
        <f t="shared" ca="1" si="1"/>
        <v>577</v>
      </c>
      <c r="C55" t="s">
        <v>40</v>
      </c>
      <c r="E55" s="71">
        <f t="shared" si="2"/>
        <v>48916</v>
      </c>
      <c r="F55">
        <f t="shared" ca="1" si="3"/>
        <v>1720</v>
      </c>
      <c r="G55" t="s">
        <v>41</v>
      </c>
      <c r="I55" s="71">
        <f t="shared" si="4"/>
        <v>52966</v>
      </c>
      <c r="J55">
        <f t="shared" ca="1" si="5"/>
        <v>3405</v>
      </c>
      <c r="K55" t="s">
        <v>40</v>
      </c>
    </row>
    <row r="56" spans="1:11" x14ac:dyDescent="0.25">
      <c r="A56" s="71">
        <f t="shared" si="0"/>
        <v>46246</v>
      </c>
      <c r="B56">
        <f t="shared" ca="1" si="1"/>
        <v>577</v>
      </c>
      <c r="C56" t="s">
        <v>40</v>
      </c>
      <c r="E56" s="71">
        <f t="shared" si="2"/>
        <v>49006</v>
      </c>
      <c r="F56">
        <f t="shared" ca="1" si="3"/>
        <v>1720</v>
      </c>
      <c r="G56" t="s">
        <v>41</v>
      </c>
      <c r="I56" s="71">
        <f t="shared" si="4"/>
        <v>53146</v>
      </c>
      <c r="J56">
        <f t="shared" ca="1" si="5"/>
        <v>3405</v>
      </c>
      <c r="K56" t="s">
        <v>40</v>
      </c>
    </row>
    <row r="57" spans="1:11" x14ac:dyDescent="0.25">
      <c r="A57" s="71">
        <f t="shared" si="0"/>
        <v>46276</v>
      </c>
      <c r="B57">
        <f t="shared" ca="1" si="1"/>
        <v>577</v>
      </c>
      <c r="C57" t="s">
        <v>40</v>
      </c>
      <c r="E57" s="71">
        <f t="shared" si="2"/>
        <v>49096</v>
      </c>
      <c r="F57">
        <f t="shared" ca="1" si="3"/>
        <v>1720</v>
      </c>
      <c r="G57" t="s">
        <v>41</v>
      </c>
      <c r="I57" s="71">
        <f t="shared" si="4"/>
        <v>53326</v>
      </c>
      <c r="J57">
        <f t="shared" ca="1" si="5"/>
        <v>3405</v>
      </c>
      <c r="K57" t="s">
        <v>40</v>
      </c>
    </row>
    <row r="58" spans="1:11" x14ac:dyDescent="0.25">
      <c r="A58" s="71">
        <f t="shared" si="0"/>
        <v>46306</v>
      </c>
      <c r="B58">
        <f t="shared" ca="1" si="1"/>
        <v>577</v>
      </c>
      <c r="C58" t="s">
        <v>40</v>
      </c>
      <c r="E58" s="71">
        <f t="shared" si="2"/>
        <v>49186</v>
      </c>
      <c r="F58">
        <f t="shared" ca="1" si="3"/>
        <v>1720</v>
      </c>
      <c r="G58" t="s">
        <v>41</v>
      </c>
      <c r="I58" s="71">
        <f t="shared" si="4"/>
        <v>53506</v>
      </c>
      <c r="J58">
        <f t="shared" ca="1" si="5"/>
        <v>3405</v>
      </c>
      <c r="K58" t="s">
        <v>40</v>
      </c>
    </row>
    <row r="59" spans="1:11" x14ac:dyDescent="0.25">
      <c r="A59" s="71">
        <f t="shared" si="0"/>
        <v>46336</v>
      </c>
      <c r="B59">
        <f t="shared" ca="1" si="1"/>
        <v>577</v>
      </c>
      <c r="C59" t="s">
        <v>40</v>
      </c>
      <c r="E59" s="71">
        <f t="shared" si="2"/>
        <v>49276</v>
      </c>
      <c r="F59">
        <f t="shared" ca="1" si="3"/>
        <v>1720</v>
      </c>
      <c r="G59" t="s">
        <v>41</v>
      </c>
      <c r="I59" s="71">
        <f t="shared" si="4"/>
        <v>53686</v>
      </c>
      <c r="J59">
        <f t="shared" ca="1" si="5"/>
        <v>3405</v>
      </c>
      <c r="K59" t="s">
        <v>40</v>
      </c>
    </row>
    <row r="60" spans="1:11" x14ac:dyDescent="0.25">
      <c r="A60" s="71">
        <f t="shared" si="0"/>
        <v>46366</v>
      </c>
      <c r="B60">
        <f t="shared" ca="1" si="1"/>
        <v>577</v>
      </c>
      <c r="C60" t="s">
        <v>40</v>
      </c>
      <c r="E60" s="71">
        <f t="shared" si="2"/>
        <v>49366</v>
      </c>
      <c r="F60">
        <f t="shared" ca="1" si="3"/>
        <v>1720</v>
      </c>
      <c r="G60" t="s">
        <v>40</v>
      </c>
      <c r="I60" s="71">
        <f t="shared" si="4"/>
        <v>53866</v>
      </c>
      <c r="J60">
        <f t="shared" ca="1" si="5"/>
        <v>3405</v>
      </c>
      <c r="K60" t="s">
        <v>40</v>
      </c>
    </row>
    <row r="61" spans="1:11" x14ac:dyDescent="0.25">
      <c r="A61" s="71">
        <f t="shared" si="0"/>
        <v>46396</v>
      </c>
      <c r="B61">
        <f t="shared" ca="1" si="1"/>
        <v>577</v>
      </c>
      <c r="C61" t="s">
        <v>40</v>
      </c>
      <c r="E61" s="71">
        <f t="shared" si="2"/>
        <v>49456</v>
      </c>
      <c r="F61">
        <f t="shared" ca="1" si="3"/>
        <v>1720</v>
      </c>
      <c r="G61" t="s">
        <v>40</v>
      </c>
      <c r="I61" s="71">
        <f t="shared" si="4"/>
        <v>54046</v>
      </c>
      <c r="J61">
        <f t="shared" ca="1" si="5"/>
        <v>3405</v>
      </c>
      <c r="K61" t="s">
        <v>40</v>
      </c>
    </row>
    <row r="62" spans="1:11" x14ac:dyDescent="0.25">
      <c r="A62" s="71">
        <f t="shared" si="0"/>
        <v>46426</v>
      </c>
      <c r="B62">
        <f t="shared" ca="1" si="1"/>
        <v>577</v>
      </c>
      <c r="C62" t="s">
        <v>40</v>
      </c>
      <c r="E62" s="71">
        <f t="shared" si="2"/>
        <v>49546</v>
      </c>
      <c r="F62">
        <f t="shared" ca="1" si="3"/>
        <v>1720</v>
      </c>
      <c r="G62" t="s">
        <v>40</v>
      </c>
      <c r="I62" s="71">
        <f t="shared" si="4"/>
        <v>54226</v>
      </c>
      <c r="J62">
        <f t="shared" ca="1" si="5"/>
        <v>3405</v>
      </c>
      <c r="K62" t="s">
        <v>40</v>
      </c>
    </row>
    <row r="63" spans="1:11" x14ac:dyDescent="0.25">
      <c r="A63" s="71">
        <f t="shared" si="0"/>
        <v>46456</v>
      </c>
      <c r="B63">
        <f t="shared" ca="1" si="1"/>
        <v>577</v>
      </c>
      <c r="C63" t="s">
        <v>40</v>
      </c>
      <c r="E63" s="71">
        <f t="shared" si="2"/>
        <v>49636</v>
      </c>
      <c r="F63">
        <f t="shared" ca="1" si="3"/>
        <v>1720</v>
      </c>
      <c r="G63" t="s">
        <v>40</v>
      </c>
      <c r="I63" s="71">
        <f t="shared" si="4"/>
        <v>54406</v>
      </c>
      <c r="J63">
        <f t="shared" ca="1" si="5"/>
        <v>3405</v>
      </c>
      <c r="K63" t="s">
        <v>40</v>
      </c>
    </row>
    <row r="64" spans="1:11" x14ac:dyDescent="0.25">
      <c r="A64" s="71">
        <f t="shared" si="0"/>
        <v>46486</v>
      </c>
      <c r="B64">
        <f t="shared" ca="1" si="1"/>
        <v>577</v>
      </c>
      <c r="C64" t="s">
        <v>40</v>
      </c>
      <c r="E64" s="71">
        <f t="shared" si="2"/>
        <v>49726</v>
      </c>
      <c r="F64">
        <f t="shared" ca="1" si="3"/>
        <v>1720</v>
      </c>
      <c r="G64" t="s">
        <v>40</v>
      </c>
      <c r="I64" s="71">
        <f t="shared" si="4"/>
        <v>54586</v>
      </c>
      <c r="J64">
        <f t="shared" ca="1" si="5"/>
        <v>3405</v>
      </c>
      <c r="K64" t="s">
        <v>40</v>
      </c>
    </row>
    <row r="65" spans="1:11" x14ac:dyDescent="0.25">
      <c r="A65" s="71">
        <f t="shared" si="0"/>
        <v>46516</v>
      </c>
      <c r="B65">
        <f t="shared" ca="1" si="1"/>
        <v>577</v>
      </c>
      <c r="C65" t="s">
        <v>40</v>
      </c>
      <c r="E65" s="71">
        <f t="shared" si="2"/>
        <v>49816</v>
      </c>
      <c r="F65">
        <f t="shared" ca="1" si="3"/>
        <v>1720</v>
      </c>
      <c r="G65" t="s">
        <v>40</v>
      </c>
      <c r="I65" s="71">
        <f t="shared" si="4"/>
        <v>54766</v>
      </c>
      <c r="J65">
        <f t="shared" ca="1" si="5"/>
        <v>3405</v>
      </c>
      <c r="K65" t="s">
        <v>40</v>
      </c>
    </row>
    <row r="66" spans="1:11" x14ac:dyDescent="0.25">
      <c r="A66" s="71">
        <f t="shared" si="0"/>
        <v>46546</v>
      </c>
      <c r="B66">
        <f t="shared" ca="1" si="1"/>
        <v>577</v>
      </c>
      <c r="C66" t="s">
        <v>40</v>
      </c>
      <c r="E66" s="71">
        <f t="shared" si="2"/>
        <v>49906</v>
      </c>
      <c r="F66">
        <f t="shared" ca="1" si="3"/>
        <v>1720</v>
      </c>
      <c r="G66" t="s">
        <v>40</v>
      </c>
      <c r="I66" s="71">
        <f t="shared" si="4"/>
        <v>54946</v>
      </c>
      <c r="J66">
        <f t="shared" ca="1" si="5"/>
        <v>3405</v>
      </c>
      <c r="K66" t="s">
        <v>40</v>
      </c>
    </row>
    <row r="67" spans="1:11" x14ac:dyDescent="0.25">
      <c r="A67" s="71">
        <f t="shared" si="0"/>
        <v>46576</v>
      </c>
      <c r="B67">
        <f t="shared" ca="1" si="1"/>
        <v>577</v>
      </c>
      <c r="C67" t="s">
        <v>40</v>
      </c>
      <c r="E67" s="71">
        <f t="shared" si="2"/>
        <v>49996</v>
      </c>
      <c r="F67">
        <f t="shared" ca="1" si="3"/>
        <v>1720</v>
      </c>
      <c r="G67" t="s">
        <v>40</v>
      </c>
      <c r="I67" s="71">
        <f t="shared" si="4"/>
        <v>55126</v>
      </c>
      <c r="J67">
        <f t="shared" ca="1" si="5"/>
        <v>3405</v>
      </c>
      <c r="K67" t="s">
        <v>40</v>
      </c>
    </row>
    <row r="68" spans="1:11" x14ac:dyDescent="0.25">
      <c r="A68" s="71">
        <f t="shared" si="0"/>
        <v>46606</v>
      </c>
      <c r="B68">
        <f t="shared" ca="1" si="1"/>
        <v>577</v>
      </c>
      <c r="C68" t="s">
        <v>40</v>
      </c>
      <c r="E68" s="71">
        <f t="shared" si="2"/>
        <v>50086</v>
      </c>
      <c r="F68">
        <f t="shared" ca="1" si="3"/>
        <v>1720</v>
      </c>
      <c r="G68" t="s">
        <v>40</v>
      </c>
      <c r="I68" s="71">
        <f t="shared" si="4"/>
        <v>55306</v>
      </c>
      <c r="J68">
        <f t="shared" ca="1" si="5"/>
        <v>3405</v>
      </c>
      <c r="K68" t="s">
        <v>40</v>
      </c>
    </row>
    <row r="69" spans="1:11" x14ac:dyDescent="0.25">
      <c r="A69" s="71">
        <f t="shared" si="0"/>
        <v>46636</v>
      </c>
      <c r="B69">
        <f t="shared" ca="1" si="1"/>
        <v>577</v>
      </c>
      <c r="C69" t="s">
        <v>40</v>
      </c>
      <c r="E69" s="71">
        <f t="shared" si="2"/>
        <v>50176</v>
      </c>
      <c r="F69">
        <f t="shared" ca="1" si="3"/>
        <v>1720</v>
      </c>
      <c r="G69" t="s">
        <v>40</v>
      </c>
      <c r="I69" s="71">
        <f t="shared" si="4"/>
        <v>55486</v>
      </c>
      <c r="J69">
        <f t="shared" ca="1" si="5"/>
        <v>3405</v>
      </c>
      <c r="K69" t="s">
        <v>40</v>
      </c>
    </row>
    <row r="70" spans="1:11" x14ac:dyDescent="0.25">
      <c r="A70" s="71">
        <f t="shared" si="0"/>
        <v>46666</v>
      </c>
      <c r="B70">
        <f t="shared" ca="1" si="1"/>
        <v>577</v>
      </c>
      <c r="C70" t="s">
        <v>40</v>
      </c>
      <c r="E70" s="71">
        <f t="shared" si="2"/>
        <v>50266</v>
      </c>
      <c r="F70">
        <f t="shared" ca="1" si="3"/>
        <v>1720</v>
      </c>
      <c r="G70" t="s">
        <v>40</v>
      </c>
      <c r="I70" s="71">
        <f t="shared" si="4"/>
        <v>55666</v>
      </c>
      <c r="J70">
        <f t="shared" ca="1" si="5"/>
        <v>3405</v>
      </c>
      <c r="K70" t="s">
        <v>40</v>
      </c>
    </row>
    <row r="71" spans="1:11" x14ac:dyDescent="0.25">
      <c r="A71" s="71">
        <f t="shared" si="0"/>
        <v>46696</v>
      </c>
      <c r="B71">
        <f t="shared" ca="1" si="1"/>
        <v>577</v>
      </c>
      <c r="C71" t="s">
        <v>40</v>
      </c>
      <c r="E71" s="71">
        <f t="shared" si="2"/>
        <v>50356</v>
      </c>
      <c r="F71">
        <f t="shared" ca="1" si="3"/>
        <v>1720</v>
      </c>
      <c r="G71" t="s">
        <v>40</v>
      </c>
      <c r="I71" s="71">
        <f t="shared" si="4"/>
        <v>55846</v>
      </c>
      <c r="J71">
        <f t="shared" ca="1" si="5"/>
        <v>3405</v>
      </c>
      <c r="K71" t="s">
        <v>40</v>
      </c>
    </row>
    <row r="72" spans="1:11" x14ac:dyDescent="0.25">
      <c r="A72" s="71">
        <f t="shared" si="0"/>
        <v>46726</v>
      </c>
      <c r="B72">
        <f t="shared" ca="1" si="1"/>
        <v>577</v>
      </c>
      <c r="C72" t="s">
        <v>40</v>
      </c>
      <c r="E72" s="71">
        <f t="shared" si="2"/>
        <v>50446</v>
      </c>
      <c r="F72">
        <f t="shared" ca="1" si="3"/>
        <v>1720</v>
      </c>
      <c r="G72" t="s">
        <v>40</v>
      </c>
      <c r="I72" s="71">
        <f t="shared" si="4"/>
        <v>56026</v>
      </c>
      <c r="J72">
        <f t="shared" ca="1" si="5"/>
        <v>3405</v>
      </c>
      <c r="K72" t="s">
        <v>40</v>
      </c>
    </row>
    <row r="73" spans="1:11" x14ac:dyDescent="0.25">
      <c r="A73" s="71">
        <f t="shared" si="0"/>
        <v>46756</v>
      </c>
      <c r="B73">
        <f t="shared" ca="1" si="1"/>
        <v>577</v>
      </c>
      <c r="C73" t="s">
        <v>40</v>
      </c>
      <c r="E73" s="71">
        <f t="shared" si="2"/>
        <v>50536</v>
      </c>
      <c r="F73">
        <f t="shared" ca="1" si="3"/>
        <v>1720</v>
      </c>
      <c r="G73" t="s">
        <v>40</v>
      </c>
      <c r="I73" s="71">
        <f t="shared" si="4"/>
        <v>56206</v>
      </c>
      <c r="J73">
        <f t="shared" ca="1" si="5"/>
        <v>3405</v>
      </c>
      <c r="K73" t="s">
        <v>40</v>
      </c>
    </row>
    <row r="74" spans="1:11" x14ac:dyDescent="0.25">
      <c r="A74" s="71">
        <f t="shared" si="0"/>
        <v>46786</v>
      </c>
      <c r="B74">
        <f t="shared" ca="1" si="1"/>
        <v>577</v>
      </c>
      <c r="C74" t="s">
        <v>40</v>
      </c>
      <c r="E74" s="71">
        <f t="shared" si="2"/>
        <v>50626</v>
      </c>
      <c r="F74">
        <f t="shared" ca="1" si="3"/>
        <v>1720</v>
      </c>
      <c r="G74" t="s">
        <v>40</v>
      </c>
      <c r="I74" s="71">
        <f t="shared" si="4"/>
        <v>56386</v>
      </c>
      <c r="J74">
        <f t="shared" ca="1" si="5"/>
        <v>3405</v>
      </c>
      <c r="K74" t="s">
        <v>40</v>
      </c>
    </row>
    <row r="75" spans="1:11" x14ac:dyDescent="0.25">
      <c r="A75" s="71">
        <f t="shared" si="0"/>
        <v>46816</v>
      </c>
      <c r="B75">
        <f t="shared" ca="1" si="1"/>
        <v>577</v>
      </c>
      <c r="C75" t="s">
        <v>40</v>
      </c>
      <c r="E75" s="71">
        <f t="shared" si="2"/>
        <v>50716</v>
      </c>
      <c r="F75">
        <f t="shared" ca="1" si="3"/>
        <v>1720</v>
      </c>
      <c r="G75" t="s">
        <v>40</v>
      </c>
      <c r="I75" s="71">
        <f t="shared" si="4"/>
        <v>56566</v>
      </c>
      <c r="J75">
        <f t="shared" ca="1" si="5"/>
        <v>3405</v>
      </c>
      <c r="K75" t="s">
        <v>40</v>
      </c>
    </row>
    <row r="76" spans="1:11" x14ac:dyDescent="0.25">
      <c r="A76" s="71">
        <f t="shared" ref="A76:A139" si="6">A75+30</f>
        <v>46846</v>
      </c>
      <c r="B76">
        <f t="shared" ref="B76:B139" ca="1" si="7">B75</f>
        <v>577</v>
      </c>
      <c r="C76" t="s">
        <v>40</v>
      </c>
      <c r="E76" s="71">
        <f t="shared" ref="E76:E139" si="8">E75+90</f>
        <v>50806</v>
      </c>
      <c r="F76">
        <f t="shared" ref="F76:F139" ca="1" si="9">F75</f>
        <v>1720</v>
      </c>
      <c r="G76" t="s">
        <v>40</v>
      </c>
      <c r="I76" s="71">
        <f t="shared" si="4"/>
        <v>56746</v>
      </c>
      <c r="J76">
        <f t="shared" ref="J76:J97" ca="1" si="10">J75</f>
        <v>3405</v>
      </c>
      <c r="K76" t="s">
        <v>40</v>
      </c>
    </row>
    <row r="77" spans="1:11" x14ac:dyDescent="0.25">
      <c r="A77" s="71">
        <f t="shared" si="6"/>
        <v>46876</v>
      </c>
      <c r="B77">
        <f t="shared" ca="1" si="7"/>
        <v>577</v>
      </c>
      <c r="C77" t="s">
        <v>40</v>
      </c>
      <c r="E77" s="71">
        <f t="shared" si="8"/>
        <v>50896</v>
      </c>
      <c r="F77">
        <f t="shared" ca="1" si="9"/>
        <v>1720</v>
      </c>
      <c r="G77" t="s">
        <v>40</v>
      </c>
      <c r="I77" s="71">
        <f t="shared" ref="I77:I97" si="11">I76+180</f>
        <v>56926</v>
      </c>
      <c r="J77">
        <f t="shared" ca="1" si="10"/>
        <v>3405</v>
      </c>
      <c r="K77" t="s">
        <v>40</v>
      </c>
    </row>
    <row r="78" spans="1:11" x14ac:dyDescent="0.25">
      <c r="A78" s="71">
        <f t="shared" si="6"/>
        <v>46906</v>
      </c>
      <c r="B78">
        <f t="shared" ca="1" si="7"/>
        <v>577</v>
      </c>
      <c r="C78" t="s">
        <v>40</v>
      </c>
      <c r="E78" s="71">
        <f t="shared" si="8"/>
        <v>50986</v>
      </c>
      <c r="F78">
        <f t="shared" ca="1" si="9"/>
        <v>1720</v>
      </c>
      <c r="G78" t="s">
        <v>40</v>
      </c>
      <c r="I78" s="71">
        <f t="shared" si="11"/>
        <v>57106</v>
      </c>
      <c r="J78">
        <f t="shared" ca="1" si="10"/>
        <v>3405</v>
      </c>
      <c r="K78" t="s">
        <v>40</v>
      </c>
    </row>
    <row r="79" spans="1:11" x14ac:dyDescent="0.25">
      <c r="A79" s="71">
        <f t="shared" si="6"/>
        <v>46936</v>
      </c>
      <c r="B79">
        <f t="shared" ca="1" si="7"/>
        <v>577</v>
      </c>
      <c r="C79" t="s">
        <v>40</v>
      </c>
      <c r="E79" s="71">
        <f t="shared" si="8"/>
        <v>51076</v>
      </c>
      <c r="F79">
        <f t="shared" ca="1" si="9"/>
        <v>1720</v>
      </c>
      <c r="G79" t="s">
        <v>40</v>
      </c>
      <c r="I79" s="71">
        <f t="shared" si="11"/>
        <v>57286</v>
      </c>
      <c r="J79">
        <f t="shared" ca="1" si="10"/>
        <v>3405</v>
      </c>
      <c r="K79" t="s">
        <v>40</v>
      </c>
    </row>
    <row r="80" spans="1:11" x14ac:dyDescent="0.25">
      <c r="A80" s="71">
        <f t="shared" si="6"/>
        <v>46966</v>
      </c>
      <c r="B80">
        <f t="shared" ca="1" si="7"/>
        <v>577</v>
      </c>
      <c r="C80" t="s">
        <v>40</v>
      </c>
      <c r="E80" s="71">
        <f t="shared" si="8"/>
        <v>51166</v>
      </c>
      <c r="F80">
        <f t="shared" ca="1" si="9"/>
        <v>1720</v>
      </c>
      <c r="G80" t="s">
        <v>40</v>
      </c>
      <c r="I80" s="71">
        <f t="shared" si="11"/>
        <v>57466</v>
      </c>
      <c r="J80">
        <f t="shared" ca="1" si="10"/>
        <v>3405</v>
      </c>
      <c r="K80" t="s">
        <v>40</v>
      </c>
    </row>
    <row r="81" spans="1:11" x14ac:dyDescent="0.25">
      <c r="A81" s="71">
        <f t="shared" si="6"/>
        <v>46996</v>
      </c>
      <c r="B81">
        <f t="shared" ca="1" si="7"/>
        <v>577</v>
      </c>
      <c r="C81" t="s">
        <v>40</v>
      </c>
      <c r="E81" s="71">
        <f t="shared" si="8"/>
        <v>51256</v>
      </c>
      <c r="F81">
        <f t="shared" ca="1" si="9"/>
        <v>1720</v>
      </c>
      <c r="G81" t="s">
        <v>40</v>
      </c>
      <c r="I81" s="71">
        <f t="shared" si="11"/>
        <v>57646</v>
      </c>
      <c r="J81">
        <f t="shared" ca="1" si="10"/>
        <v>3405</v>
      </c>
      <c r="K81" t="s">
        <v>40</v>
      </c>
    </row>
    <row r="82" spans="1:11" x14ac:dyDescent="0.25">
      <c r="A82" s="71">
        <f t="shared" si="6"/>
        <v>47026</v>
      </c>
      <c r="B82">
        <f t="shared" ca="1" si="7"/>
        <v>577</v>
      </c>
      <c r="C82" t="s">
        <v>40</v>
      </c>
      <c r="E82" s="71">
        <f t="shared" si="8"/>
        <v>51346</v>
      </c>
      <c r="F82">
        <f t="shared" ca="1" si="9"/>
        <v>1720</v>
      </c>
      <c r="G82" t="s">
        <v>40</v>
      </c>
      <c r="I82" s="71">
        <f t="shared" si="11"/>
        <v>57826</v>
      </c>
      <c r="J82">
        <f t="shared" ca="1" si="10"/>
        <v>3405</v>
      </c>
      <c r="K82" t="s">
        <v>40</v>
      </c>
    </row>
    <row r="83" spans="1:11" x14ac:dyDescent="0.25">
      <c r="A83" s="71">
        <f t="shared" si="6"/>
        <v>47056</v>
      </c>
      <c r="B83">
        <f t="shared" ca="1" si="7"/>
        <v>577</v>
      </c>
      <c r="C83" t="s">
        <v>40</v>
      </c>
      <c r="E83" s="71">
        <f t="shared" si="8"/>
        <v>51436</v>
      </c>
      <c r="F83">
        <f t="shared" ca="1" si="9"/>
        <v>1720</v>
      </c>
      <c r="G83" t="s">
        <v>40</v>
      </c>
      <c r="I83" s="71">
        <f t="shared" si="11"/>
        <v>58006</v>
      </c>
      <c r="J83">
        <f t="shared" ca="1" si="10"/>
        <v>3405</v>
      </c>
      <c r="K83" t="s">
        <v>40</v>
      </c>
    </row>
    <row r="84" spans="1:11" x14ac:dyDescent="0.25">
      <c r="A84" s="71">
        <f t="shared" si="6"/>
        <v>47086</v>
      </c>
      <c r="B84">
        <f t="shared" ca="1" si="7"/>
        <v>577</v>
      </c>
      <c r="C84" t="s">
        <v>40</v>
      </c>
      <c r="E84" s="71">
        <f t="shared" si="8"/>
        <v>51526</v>
      </c>
      <c r="F84">
        <f t="shared" ca="1" si="9"/>
        <v>1720</v>
      </c>
      <c r="G84" t="s">
        <v>40</v>
      </c>
      <c r="I84" s="71">
        <f t="shared" si="11"/>
        <v>58186</v>
      </c>
      <c r="J84">
        <f t="shared" ca="1" si="10"/>
        <v>3405</v>
      </c>
      <c r="K84" t="s">
        <v>40</v>
      </c>
    </row>
    <row r="85" spans="1:11" x14ac:dyDescent="0.25">
      <c r="A85" s="71">
        <f t="shared" si="6"/>
        <v>47116</v>
      </c>
      <c r="B85">
        <f t="shared" ca="1" si="7"/>
        <v>577</v>
      </c>
      <c r="C85" t="s">
        <v>40</v>
      </c>
      <c r="E85" s="71">
        <f t="shared" si="8"/>
        <v>51616</v>
      </c>
      <c r="F85">
        <f t="shared" ca="1" si="9"/>
        <v>1720</v>
      </c>
      <c r="G85" t="s">
        <v>40</v>
      </c>
      <c r="I85" s="71">
        <f t="shared" si="11"/>
        <v>58366</v>
      </c>
      <c r="J85">
        <f t="shared" ca="1" si="10"/>
        <v>3405</v>
      </c>
      <c r="K85" t="s">
        <v>40</v>
      </c>
    </row>
    <row r="86" spans="1:11" x14ac:dyDescent="0.25">
      <c r="A86" s="71">
        <f t="shared" si="6"/>
        <v>47146</v>
      </c>
      <c r="B86">
        <f t="shared" ca="1" si="7"/>
        <v>577</v>
      </c>
      <c r="C86" t="s">
        <v>40</v>
      </c>
      <c r="E86" s="71">
        <f t="shared" si="8"/>
        <v>51706</v>
      </c>
      <c r="F86">
        <f t="shared" ca="1" si="9"/>
        <v>1720</v>
      </c>
      <c r="G86" t="s">
        <v>40</v>
      </c>
      <c r="I86" s="71">
        <f t="shared" si="11"/>
        <v>58546</v>
      </c>
      <c r="J86">
        <f t="shared" ca="1" si="10"/>
        <v>3405</v>
      </c>
      <c r="K86" t="s">
        <v>40</v>
      </c>
    </row>
    <row r="87" spans="1:11" x14ac:dyDescent="0.25">
      <c r="A87" s="71">
        <f t="shared" si="6"/>
        <v>47176</v>
      </c>
      <c r="B87">
        <f t="shared" ca="1" si="7"/>
        <v>577</v>
      </c>
      <c r="C87" t="s">
        <v>40</v>
      </c>
      <c r="E87" s="71">
        <f t="shared" si="8"/>
        <v>51796</v>
      </c>
      <c r="F87">
        <f t="shared" ca="1" si="9"/>
        <v>1720</v>
      </c>
      <c r="G87" t="s">
        <v>40</v>
      </c>
      <c r="I87" s="71">
        <f t="shared" si="11"/>
        <v>58726</v>
      </c>
      <c r="J87">
        <f t="shared" ca="1" si="10"/>
        <v>3405</v>
      </c>
      <c r="K87" t="s">
        <v>40</v>
      </c>
    </row>
    <row r="88" spans="1:11" x14ac:dyDescent="0.25">
      <c r="A88" s="71">
        <f t="shared" si="6"/>
        <v>47206</v>
      </c>
      <c r="B88">
        <f t="shared" ca="1" si="7"/>
        <v>577</v>
      </c>
      <c r="C88" t="s">
        <v>40</v>
      </c>
      <c r="E88" s="71">
        <f t="shared" si="8"/>
        <v>51886</v>
      </c>
      <c r="F88">
        <f t="shared" ca="1" si="9"/>
        <v>1720</v>
      </c>
      <c r="G88" t="s">
        <v>40</v>
      </c>
      <c r="I88" s="71">
        <f t="shared" si="11"/>
        <v>58906</v>
      </c>
      <c r="J88">
        <f t="shared" ca="1" si="10"/>
        <v>3405</v>
      </c>
      <c r="K88" t="s">
        <v>40</v>
      </c>
    </row>
    <row r="89" spans="1:11" x14ac:dyDescent="0.25">
      <c r="A89" s="71">
        <f t="shared" si="6"/>
        <v>47236</v>
      </c>
      <c r="B89">
        <f t="shared" ca="1" si="7"/>
        <v>577</v>
      </c>
      <c r="C89" t="s">
        <v>40</v>
      </c>
      <c r="E89" s="71">
        <f t="shared" si="8"/>
        <v>51976</v>
      </c>
      <c r="F89">
        <f t="shared" ca="1" si="9"/>
        <v>1720</v>
      </c>
      <c r="G89" t="s">
        <v>40</v>
      </c>
      <c r="I89" s="71">
        <f t="shared" si="11"/>
        <v>59086</v>
      </c>
      <c r="J89">
        <f t="shared" ca="1" si="10"/>
        <v>3405</v>
      </c>
      <c r="K89" t="s">
        <v>40</v>
      </c>
    </row>
    <row r="90" spans="1:11" x14ac:dyDescent="0.25">
      <c r="A90" s="71">
        <f t="shared" si="6"/>
        <v>47266</v>
      </c>
      <c r="B90">
        <f t="shared" ca="1" si="7"/>
        <v>577</v>
      </c>
      <c r="C90" t="s">
        <v>40</v>
      </c>
      <c r="E90" s="71">
        <f t="shared" si="8"/>
        <v>52066</v>
      </c>
      <c r="F90">
        <f t="shared" ca="1" si="9"/>
        <v>1720</v>
      </c>
      <c r="G90" t="s">
        <v>40</v>
      </c>
      <c r="I90" s="71">
        <f t="shared" si="11"/>
        <v>59266</v>
      </c>
      <c r="J90">
        <f t="shared" ca="1" si="10"/>
        <v>3405</v>
      </c>
      <c r="K90" t="s">
        <v>40</v>
      </c>
    </row>
    <row r="91" spans="1:11" x14ac:dyDescent="0.25">
      <c r="A91" s="71">
        <f t="shared" si="6"/>
        <v>47296</v>
      </c>
      <c r="B91">
        <f t="shared" ca="1" si="7"/>
        <v>577</v>
      </c>
      <c r="C91" t="s">
        <v>40</v>
      </c>
      <c r="E91" s="71">
        <f t="shared" si="8"/>
        <v>52156</v>
      </c>
      <c r="F91">
        <f t="shared" ca="1" si="9"/>
        <v>1720</v>
      </c>
      <c r="G91" t="s">
        <v>40</v>
      </c>
      <c r="I91" s="71">
        <f t="shared" si="11"/>
        <v>59446</v>
      </c>
      <c r="J91">
        <f t="shared" ca="1" si="10"/>
        <v>3405</v>
      </c>
      <c r="K91" t="s">
        <v>40</v>
      </c>
    </row>
    <row r="92" spans="1:11" x14ac:dyDescent="0.25">
      <c r="A92" s="71">
        <f t="shared" si="6"/>
        <v>47326</v>
      </c>
      <c r="B92">
        <f t="shared" ca="1" si="7"/>
        <v>577</v>
      </c>
      <c r="C92" t="s">
        <v>40</v>
      </c>
      <c r="E92" s="71">
        <f t="shared" si="8"/>
        <v>52246</v>
      </c>
      <c r="F92">
        <f t="shared" ca="1" si="9"/>
        <v>1720</v>
      </c>
      <c r="G92" t="s">
        <v>40</v>
      </c>
      <c r="I92" s="71">
        <f t="shared" si="11"/>
        <v>59626</v>
      </c>
      <c r="J92">
        <f t="shared" ca="1" si="10"/>
        <v>3405</v>
      </c>
      <c r="K92" t="s">
        <v>40</v>
      </c>
    </row>
    <row r="93" spans="1:11" x14ac:dyDescent="0.25">
      <c r="A93" s="71">
        <f t="shared" si="6"/>
        <v>47356</v>
      </c>
      <c r="B93">
        <f t="shared" ca="1" si="7"/>
        <v>577</v>
      </c>
      <c r="C93" t="s">
        <v>40</v>
      </c>
      <c r="E93" s="71">
        <f t="shared" si="8"/>
        <v>52336</v>
      </c>
      <c r="F93">
        <f t="shared" ca="1" si="9"/>
        <v>1720</v>
      </c>
      <c r="G93" t="s">
        <v>40</v>
      </c>
      <c r="I93" s="71">
        <f t="shared" si="11"/>
        <v>59806</v>
      </c>
      <c r="J93">
        <f t="shared" ca="1" si="10"/>
        <v>3405</v>
      </c>
      <c r="K93" t="s">
        <v>40</v>
      </c>
    </row>
    <row r="94" spans="1:11" x14ac:dyDescent="0.25">
      <c r="A94" s="71">
        <f t="shared" si="6"/>
        <v>47386</v>
      </c>
      <c r="B94">
        <f t="shared" ca="1" si="7"/>
        <v>577</v>
      </c>
      <c r="C94" t="s">
        <v>40</v>
      </c>
      <c r="E94" s="71">
        <f t="shared" si="8"/>
        <v>52426</v>
      </c>
      <c r="F94">
        <f t="shared" ca="1" si="9"/>
        <v>1720</v>
      </c>
      <c r="G94" t="s">
        <v>40</v>
      </c>
      <c r="I94" s="71">
        <f t="shared" si="11"/>
        <v>59986</v>
      </c>
      <c r="J94">
        <f t="shared" ca="1" si="10"/>
        <v>3405</v>
      </c>
      <c r="K94" t="s">
        <v>40</v>
      </c>
    </row>
    <row r="95" spans="1:11" x14ac:dyDescent="0.25">
      <c r="A95" s="71">
        <f t="shared" si="6"/>
        <v>47416</v>
      </c>
      <c r="B95">
        <f t="shared" ca="1" si="7"/>
        <v>577</v>
      </c>
      <c r="C95" t="s">
        <v>40</v>
      </c>
      <c r="E95" s="71">
        <f t="shared" si="8"/>
        <v>52516</v>
      </c>
      <c r="F95">
        <f t="shared" ca="1" si="9"/>
        <v>1720</v>
      </c>
      <c r="G95" t="s">
        <v>40</v>
      </c>
      <c r="I95" s="71">
        <f t="shared" si="11"/>
        <v>60166</v>
      </c>
      <c r="J95">
        <f t="shared" ca="1" si="10"/>
        <v>3405</v>
      </c>
      <c r="K95" t="s">
        <v>40</v>
      </c>
    </row>
    <row r="96" spans="1:11" x14ac:dyDescent="0.25">
      <c r="A96" s="71">
        <f t="shared" si="6"/>
        <v>47446</v>
      </c>
      <c r="B96">
        <f t="shared" ca="1" si="7"/>
        <v>577</v>
      </c>
      <c r="C96" t="s">
        <v>40</v>
      </c>
      <c r="E96" s="71">
        <f t="shared" si="8"/>
        <v>52606</v>
      </c>
      <c r="F96">
        <f t="shared" ca="1" si="9"/>
        <v>1720</v>
      </c>
      <c r="G96" t="s">
        <v>40</v>
      </c>
      <c r="I96" s="71">
        <f t="shared" si="11"/>
        <v>60346</v>
      </c>
      <c r="J96">
        <f t="shared" ca="1" si="10"/>
        <v>3405</v>
      </c>
      <c r="K96" t="s">
        <v>40</v>
      </c>
    </row>
    <row r="97" spans="1:11" x14ac:dyDescent="0.25">
      <c r="A97" s="71">
        <f t="shared" si="6"/>
        <v>47476</v>
      </c>
      <c r="B97">
        <f t="shared" ca="1" si="7"/>
        <v>577</v>
      </c>
      <c r="C97" t="s">
        <v>40</v>
      </c>
      <c r="E97" s="71">
        <f t="shared" si="8"/>
        <v>52696</v>
      </c>
      <c r="F97">
        <f t="shared" ca="1" si="9"/>
        <v>1720</v>
      </c>
      <c r="G97" t="s">
        <v>40</v>
      </c>
      <c r="I97" s="71">
        <f t="shared" si="11"/>
        <v>60526</v>
      </c>
      <c r="J97">
        <f t="shared" ca="1" si="10"/>
        <v>3405</v>
      </c>
      <c r="K97" t="s">
        <v>40</v>
      </c>
    </row>
    <row r="98" spans="1:11" x14ac:dyDescent="0.25">
      <c r="A98" s="71">
        <f t="shared" si="6"/>
        <v>47506</v>
      </c>
      <c r="B98">
        <f t="shared" ca="1" si="7"/>
        <v>577</v>
      </c>
      <c r="C98" t="s">
        <v>40</v>
      </c>
      <c r="E98" s="71">
        <f t="shared" si="8"/>
        <v>52786</v>
      </c>
      <c r="F98">
        <f t="shared" ca="1" si="9"/>
        <v>1720</v>
      </c>
      <c r="G98" t="s">
        <v>40</v>
      </c>
    </row>
    <row r="99" spans="1:11" x14ac:dyDescent="0.25">
      <c r="A99" s="71">
        <f t="shared" si="6"/>
        <v>47536</v>
      </c>
      <c r="B99">
        <f t="shared" ca="1" si="7"/>
        <v>577</v>
      </c>
      <c r="C99" t="s">
        <v>40</v>
      </c>
      <c r="E99" s="71">
        <f t="shared" si="8"/>
        <v>52876</v>
      </c>
      <c r="F99">
        <f t="shared" ca="1" si="9"/>
        <v>1720</v>
      </c>
      <c r="G99" t="s">
        <v>40</v>
      </c>
    </row>
    <row r="100" spans="1:11" x14ac:dyDescent="0.25">
      <c r="A100" s="71">
        <f t="shared" si="6"/>
        <v>47566</v>
      </c>
      <c r="B100">
        <f t="shared" ca="1" si="7"/>
        <v>577</v>
      </c>
      <c r="C100" t="s">
        <v>40</v>
      </c>
      <c r="E100" s="71">
        <f t="shared" si="8"/>
        <v>52966</v>
      </c>
      <c r="F100">
        <f t="shared" ca="1" si="9"/>
        <v>1720</v>
      </c>
      <c r="G100" t="s">
        <v>40</v>
      </c>
    </row>
    <row r="101" spans="1:11" x14ac:dyDescent="0.25">
      <c r="A101" s="71">
        <f t="shared" si="6"/>
        <v>47596</v>
      </c>
      <c r="B101">
        <f t="shared" ca="1" si="7"/>
        <v>577</v>
      </c>
      <c r="C101" t="s">
        <v>40</v>
      </c>
      <c r="E101" s="71">
        <f t="shared" si="8"/>
        <v>53056</v>
      </c>
      <c r="F101">
        <f t="shared" ca="1" si="9"/>
        <v>1720</v>
      </c>
      <c r="G101" t="s">
        <v>40</v>
      </c>
    </row>
    <row r="102" spans="1:11" x14ac:dyDescent="0.25">
      <c r="A102" s="71">
        <f t="shared" si="6"/>
        <v>47626</v>
      </c>
      <c r="B102">
        <f t="shared" ca="1" si="7"/>
        <v>577</v>
      </c>
      <c r="C102" t="s">
        <v>40</v>
      </c>
      <c r="E102" s="71">
        <f t="shared" si="8"/>
        <v>53146</v>
      </c>
      <c r="F102">
        <f t="shared" ca="1" si="9"/>
        <v>1720</v>
      </c>
      <c r="G102" t="s">
        <v>40</v>
      </c>
    </row>
    <row r="103" spans="1:11" x14ac:dyDescent="0.25">
      <c r="A103" s="71">
        <f t="shared" si="6"/>
        <v>47656</v>
      </c>
      <c r="B103">
        <f t="shared" ca="1" si="7"/>
        <v>577</v>
      </c>
      <c r="C103" t="s">
        <v>40</v>
      </c>
      <c r="E103" s="71">
        <f t="shared" si="8"/>
        <v>53236</v>
      </c>
      <c r="F103">
        <f t="shared" ca="1" si="9"/>
        <v>1720</v>
      </c>
      <c r="G103" t="s">
        <v>40</v>
      </c>
    </row>
    <row r="104" spans="1:11" x14ac:dyDescent="0.25">
      <c r="A104" s="71">
        <f t="shared" si="6"/>
        <v>47686</v>
      </c>
      <c r="B104">
        <f t="shared" ca="1" si="7"/>
        <v>577</v>
      </c>
      <c r="C104" t="s">
        <v>40</v>
      </c>
      <c r="E104" s="71">
        <f t="shared" si="8"/>
        <v>53326</v>
      </c>
      <c r="F104">
        <f t="shared" ca="1" si="9"/>
        <v>1720</v>
      </c>
      <c r="G104" t="s">
        <v>40</v>
      </c>
    </row>
    <row r="105" spans="1:11" x14ac:dyDescent="0.25">
      <c r="A105" s="71">
        <f t="shared" si="6"/>
        <v>47716</v>
      </c>
      <c r="B105">
        <f t="shared" ca="1" si="7"/>
        <v>577</v>
      </c>
      <c r="C105" t="s">
        <v>40</v>
      </c>
      <c r="E105" s="71">
        <f t="shared" si="8"/>
        <v>53416</v>
      </c>
      <c r="F105">
        <f t="shared" ca="1" si="9"/>
        <v>1720</v>
      </c>
      <c r="G105" t="s">
        <v>40</v>
      </c>
    </row>
    <row r="106" spans="1:11" x14ac:dyDescent="0.25">
      <c r="A106" s="71">
        <f t="shared" si="6"/>
        <v>47746</v>
      </c>
      <c r="B106">
        <f t="shared" ca="1" si="7"/>
        <v>577</v>
      </c>
      <c r="C106" t="s">
        <v>40</v>
      </c>
      <c r="E106" s="71">
        <f t="shared" si="8"/>
        <v>53506</v>
      </c>
      <c r="F106">
        <f t="shared" ca="1" si="9"/>
        <v>1720</v>
      </c>
      <c r="G106" t="s">
        <v>40</v>
      </c>
    </row>
    <row r="107" spans="1:11" x14ac:dyDescent="0.25">
      <c r="A107" s="71">
        <f t="shared" si="6"/>
        <v>47776</v>
      </c>
      <c r="B107">
        <f t="shared" ca="1" si="7"/>
        <v>577</v>
      </c>
      <c r="C107" t="s">
        <v>40</v>
      </c>
      <c r="E107" s="71">
        <f t="shared" si="8"/>
        <v>53596</v>
      </c>
      <c r="F107">
        <f t="shared" ca="1" si="9"/>
        <v>1720</v>
      </c>
      <c r="G107" t="s">
        <v>40</v>
      </c>
    </row>
    <row r="108" spans="1:11" x14ac:dyDescent="0.25">
      <c r="A108" s="71">
        <f t="shared" si="6"/>
        <v>47806</v>
      </c>
      <c r="B108">
        <f t="shared" ca="1" si="7"/>
        <v>577</v>
      </c>
      <c r="C108" t="s">
        <v>40</v>
      </c>
      <c r="E108" s="71">
        <f t="shared" si="8"/>
        <v>53686</v>
      </c>
      <c r="F108">
        <f t="shared" ca="1" si="9"/>
        <v>1720</v>
      </c>
      <c r="G108" t="s">
        <v>40</v>
      </c>
    </row>
    <row r="109" spans="1:11" x14ac:dyDescent="0.25">
      <c r="A109" s="71">
        <f t="shared" si="6"/>
        <v>47836</v>
      </c>
      <c r="B109">
        <f t="shared" ca="1" si="7"/>
        <v>577</v>
      </c>
      <c r="C109" t="s">
        <v>40</v>
      </c>
      <c r="E109" s="71">
        <f t="shared" si="8"/>
        <v>53776</v>
      </c>
      <c r="F109">
        <f t="shared" ca="1" si="9"/>
        <v>1720</v>
      </c>
      <c r="G109" t="s">
        <v>40</v>
      </c>
    </row>
    <row r="110" spans="1:11" x14ac:dyDescent="0.25">
      <c r="A110" s="71">
        <f t="shared" si="6"/>
        <v>47866</v>
      </c>
      <c r="B110">
        <f t="shared" ca="1" si="7"/>
        <v>577</v>
      </c>
      <c r="C110" t="s">
        <v>40</v>
      </c>
      <c r="E110" s="71">
        <f t="shared" si="8"/>
        <v>53866</v>
      </c>
      <c r="F110">
        <f t="shared" ca="1" si="9"/>
        <v>1720</v>
      </c>
      <c r="G110" t="s">
        <v>40</v>
      </c>
    </row>
    <row r="111" spans="1:11" x14ac:dyDescent="0.25">
      <c r="A111" s="71">
        <f t="shared" si="6"/>
        <v>47896</v>
      </c>
      <c r="B111">
        <f t="shared" ca="1" si="7"/>
        <v>577</v>
      </c>
      <c r="C111" t="s">
        <v>40</v>
      </c>
      <c r="E111" s="71">
        <f t="shared" si="8"/>
        <v>53956</v>
      </c>
      <c r="F111">
        <f t="shared" ca="1" si="9"/>
        <v>1720</v>
      </c>
      <c r="G111" t="s">
        <v>40</v>
      </c>
    </row>
    <row r="112" spans="1:11" x14ac:dyDescent="0.25">
      <c r="A112" s="71">
        <f t="shared" si="6"/>
        <v>47926</v>
      </c>
      <c r="B112">
        <f t="shared" ca="1" si="7"/>
        <v>577</v>
      </c>
      <c r="C112" t="s">
        <v>40</v>
      </c>
      <c r="E112" s="71">
        <f t="shared" si="8"/>
        <v>54046</v>
      </c>
      <c r="F112">
        <f t="shared" ca="1" si="9"/>
        <v>1720</v>
      </c>
      <c r="G112" t="s">
        <v>40</v>
      </c>
    </row>
    <row r="113" spans="1:7" x14ac:dyDescent="0.25">
      <c r="A113" s="71">
        <f t="shared" si="6"/>
        <v>47956</v>
      </c>
      <c r="B113">
        <f t="shared" ca="1" si="7"/>
        <v>577</v>
      </c>
      <c r="C113" t="s">
        <v>40</v>
      </c>
      <c r="E113" s="71">
        <f t="shared" si="8"/>
        <v>54136</v>
      </c>
      <c r="F113">
        <f t="shared" ca="1" si="9"/>
        <v>1720</v>
      </c>
      <c r="G113" t="s">
        <v>40</v>
      </c>
    </row>
    <row r="114" spans="1:7" x14ac:dyDescent="0.25">
      <c r="A114" s="71">
        <f t="shared" si="6"/>
        <v>47986</v>
      </c>
      <c r="B114">
        <f t="shared" ca="1" si="7"/>
        <v>577</v>
      </c>
      <c r="C114" t="s">
        <v>40</v>
      </c>
      <c r="E114" s="71">
        <f t="shared" si="8"/>
        <v>54226</v>
      </c>
      <c r="F114">
        <f t="shared" ca="1" si="9"/>
        <v>1720</v>
      </c>
      <c r="G114" t="s">
        <v>40</v>
      </c>
    </row>
    <row r="115" spans="1:7" x14ac:dyDescent="0.25">
      <c r="A115" s="71">
        <f t="shared" si="6"/>
        <v>48016</v>
      </c>
      <c r="B115">
        <f t="shared" ca="1" si="7"/>
        <v>577</v>
      </c>
      <c r="C115" t="s">
        <v>40</v>
      </c>
      <c r="E115" s="71">
        <f t="shared" si="8"/>
        <v>54316</v>
      </c>
      <c r="F115">
        <f t="shared" ca="1" si="9"/>
        <v>1720</v>
      </c>
      <c r="G115" t="s">
        <v>40</v>
      </c>
    </row>
    <row r="116" spans="1:7" x14ac:dyDescent="0.25">
      <c r="A116" s="71">
        <f t="shared" si="6"/>
        <v>48046</v>
      </c>
      <c r="B116">
        <f t="shared" ca="1" si="7"/>
        <v>577</v>
      </c>
      <c r="C116" t="s">
        <v>40</v>
      </c>
      <c r="E116" s="71">
        <f t="shared" si="8"/>
        <v>54406</v>
      </c>
      <c r="F116">
        <f t="shared" ca="1" si="9"/>
        <v>1720</v>
      </c>
      <c r="G116" t="s">
        <v>40</v>
      </c>
    </row>
    <row r="117" spans="1:7" x14ac:dyDescent="0.25">
      <c r="A117" s="71">
        <f t="shared" si="6"/>
        <v>48076</v>
      </c>
      <c r="B117">
        <f t="shared" ca="1" si="7"/>
        <v>577</v>
      </c>
      <c r="C117" t="s">
        <v>40</v>
      </c>
      <c r="E117" s="71">
        <f t="shared" si="8"/>
        <v>54496</v>
      </c>
      <c r="F117">
        <f t="shared" ca="1" si="9"/>
        <v>1720</v>
      </c>
      <c r="G117" t="s">
        <v>40</v>
      </c>
    </row>
    <row r="118" spans="1:7" x14ac:dyDescent="0.25">
      <c r="A118" s="71">
        <f t="shared" si="6"/>
        <v>48106</v>
      </c>
      <c r="B118">
        <f t="shared" ca="1" si="7"/>
        <v>577</v>
      </c>
      <c r="C118" t="s">
        <v>40</v>
      </c>
      <c r="E118" s="71">
        <f t="shared" si="8"/>
        <v>54586</v>
      </c>
      <c r="F118">
        <f t="shared" ca="1" si="9"/>
        <v>1720</v>
      </c>
      <c r="G118" t="s">
        <v>40</v>
      </c>
    </row>
    <row r="119" spans="1:7" x14ac:dyDescent="0.25">
      <c r="A119" s="71">
        <f t="shared" si="6"/>
        <v>48136</v>
      </c>
      <c r="B119">
        <f t="shared" ca="1" si="7"/>
        <v>577</v>
      </c>
      <c r="C119" t="s">
        <v>40</v>
      </c>
      <c r="E119" s="71">
        <f t="shared" si="8"/>
        <v>54676</v>
      </c>
      <c r="F119">
        <f t="shared" ca="1" si="9"/>
        <v>1720</v>
      </c>
      <c r="G119" t="s">
        <v>40</v>
      </c>
    </row>
    <row r="120" spans="1:7" x14ac:dyDescent="0.25">
      <c r="A120" s="71">
        <f t="shared" si="6"/>
        <v>48166</v>
      </c>
      <c r="B120">
        <f t="shared" ca="1" si="7"/>
        <v>577</v>
      </c>
      <c r="C120" t="s">
        <v>40</v>
      </c>
      <c r="E120" s="71">
        <f t="shared" si="8"/>
        <v>54766</v>
      </c>
      <c r="F120">
        <f t="shared" ca="1" si="9"/>
        <v>1720</v>
      </c>
      <c r="G120" t="s">
        <v>40</v>
      </c>
    </row>
    <row r="121" spans="1:7" x14ac:dyDescent="0.25">
      <c r="A121" s="71">
        <f t="shared" si="6"/>
        <v>48196</v>
      </c>
      <c r="B121">
        <f t="shared" ca="1" si="7"/>
        <v>577</v>
      </c>
      <c r="C121" t="s">
        <v>40</v>
      </c>
      <c r="E121" s="71">
        <f t="shared" si="8"/>
        <v>54856</v>
      </c>
      <c r="F121">
        <f t="shared" ca="1" si="9"/>
        <v>1720</v>
      </c>
      <c r="G121" t="s">
        <v>40</v>
      </c>
    </row>
    <row r="122" spans="1:7" x14ac:dyDescent="0.25">
      <c r="A122" s="71">
        <f t="shared" si="6"/>
        <v>48226</v>
      </c>
      <c r="B122">
        <f t="shared" ca="1" si="7"/>
        <v>577</v>
      </c>
      <c r="C122" t="s">
        <v>40</v>
      </c>
      <c r="E122" s="71">
        <f t="shared" si="8"/>
        <v>54946</v>
      </c>
      <c r="F122">
        <f t="shared" ca="1" si="9"/>
        <v>1720</v>
      </c>
      <c r="G122" t="s">
        <v>40</v>
      </c>
    </row>
    <row r="123" spans="1:7" x14ac:dyDescent="0.25">
      <c r="A123" s="71">
        <f t="shared" si="6"/>
        <v>48256</v>
      </c>
      <c r="B123">
        <f t="shared" ca="1" si="7"/>
        <v>577</v>
      </c>
      <c r="C123" t="s">
        <v>40</v>
      </c>
      <c r="E123" s="71">
        <f t="shared" si="8"/>
        <v>55036</v>
      </c>
      <c r="F123">
        <f t="shared" ca="1" si="9"/>
        <v>1720</v>
      </c>
      <c r="G123" t="s">
        <v>40</v>
      </c>
    </row>
    <row r="124" spans="1:7" x14ac:dyDescent="0.25">
      <c r="A124" s="71">
        <f t="shared" si="6"/>
        <v>48286</v>
      </c>
      <c r="B124">
        <f t="shared" ca="1" si="7"/>
        <v>577</v>
      </c>
      <c r="C124" t="s">
        <v>40</v>
      </c>
      <c r="E124" s="71">
        <f t="shared" si="8"/>
        <v>55126</v>
      </c>
      <c r="F124">
        <f t="shared" ca="1" si="9"/>
        <v>1720</v>
      </c>
      <c r="G124" t="s">
        <v>40</v>
      </c>
    </row>
    <row r="125" spans="1:7" x14ac:dyDescent="0.25">
      <c r="A125" s="71">
        <f t="shared" si="6"/>
        <v>48316</v>
      </c>
      <c r="B125">
        <f t="shared" ca="1" si="7"/>
        <v>577</v>
      </c>
      <c r="C125" t="s">
        <v>40</v>
      </c>
      <c r="E125" s="71">
        <f t="shared" si="8"/>
        <v>55216</v>
      </c>
      <c r="F125">
        <f t="shared" ca="1" si="9"/>
        <v>1720</v>
      </c>
      <c r="G125" t="s">
        <v>40</v>
      </c>
    </row>
    <row r="126" spans="1:7" x14ac:dyDescent="0.25">
      <c r="A126" s="71">
        <f t="shared" si="6"/>
        <v>48346</v>
      </c>
      <c r="B126">
        <f t="shared" ca="1" si="7"/>
        <v>577</v>
      </c>
      <c r="C126" t="s">
        <v>40</v>
      </c>
      <c r="E126" s="71">
        <f t="shared" si="8"/>
        <v>55306</v>
      </c>
      <c r="F126">
        <f t="shared" ca="1" si="9"/>
        <v>1720</v>
      </c>
      <c r="G126" t="s">
        <v>40</v>
      </c>
    </row>
    <row r="127" spans="1:7" x14ac:dyDescent="0.25">
      <c r="A127" s="71">
        <f t="shared" si="6"/>
        <v>48376</v>
      </c>
      <c r="B127">
        <f t="shared" ca="1" si="7"/>
        <v>577</v>
      </c>
      <c r="C127" t="s">
        <v>40</v>
      </c>
      <c r="E127" s="71">
        <f t="shared" si="8"/>
        <v>55396</v>
      </c>
      <c r="F127">
        <f t="shared" ca="1" si="9"/>
        <v>1720</v>
      </c>
      <c r="G127" t="s">
        <v>40</v>
      </c>
    </row>
    <row r="128" spans="1:7" x14ac:dyDescent="0.25">
      <c r="A128" s="71">
        <f t="shared" si="6"/>
        <v>48406</v>
      </c>
      <c r="B128">
        <f t="shared" ca="1" si="7"/>
        <v>577</v>
      </c>
      <c r="C128" t="s">
        <v>40</v>
      </c>
      <c r="E128" s="71">
        <f t="shared" si="8"/>
        <v>55486</v>
      </c>
      <c r="F128">
        <f t="shared" ca="1" si="9"/>
        <v>1720</v>
      </c>
      <c r="G128" t="s">
        <v>40</v>
      </c>
    </row>
    <row r="129" spans="1:7" x14ac:dyDescent="0.25">
      <c r="A129" s="71">
        <f t="shared" si="6"/>
        <v>48436</v>
      </c>
      <c r="B129">
        <f t="shared" ca="1" si="7"/>
        <v>577</v>
      </c>
      <c r="C129" t="s">
        <v>40</v>
      </c>
      <c r="E129" s="71">
        <f t="shared" si="8"/>
        <v>55576</v>
      </c>
      <c r="F129">
        <f t="shared" ca="1" si="9"/>
        <v>1720</v>
      </c>
      <c r="G129" t="s">
        <v>40</v>
      </c>
    </row>
    <row r="130" spans="1:7" x14ac:dyDescent="0.25">
      <c r="A130" s="71">
        <f t="shared" si="6"/>
        <v>48466</v>
      </c>
      <c r="B130">
        <f t="shared" ca="1" si="7"/>
        <v>577</v>
      </c>
      <c r="C130" t="s">
        <v>40</v>
      </c>
      <c r="E130" s="71">
        <f t="shared" si="8"/>
        <v>55666</v>
      </c>
      <c r="F130">
        <f t="shared" ca="1" si="9"/>
        <v>1720</v>
      </c>
      <c r="G130" t="s">
        <v>40</v>
      </c>
    </row>
    <row r="131" spans="1:7" x14ac:dyDescent="0.25">
      <c r="A131" s="71">
        <f t="shared" si="6"/>
        <v>48496</v>
      </c>
      <c r="B131">
        <f t="shared" ca="1" si="7"/>
        <v>577</v>
      </c>
      <c r="C131" t="s">
        <v>40</v>
      </c>
      <c r="E131" s="71">
        <f t="shared" si="8"/>
        <v>55756</v>
      </c>
      <c r="F131">
        <f t="shared" ca="1" si="9"/>
        <v>1720</v>
      </c>
      <c r="G131" t="s">
        <v>40</v>
      </c>
    </row>
    <row r="132" spans="1:7" x14ac:dyDescent="0.25">
      <c r="A132" s="71">
        <f t="shared" si="6"/>
        <v>48526</v>
      </c>
      <c r="B132">
        <f t="shared" ca="1" si="7"/>
        <v>577</v>
      </c>
      <c r="C132" t="s">
        <v>40</v>
      </c>
      <c r="E132" s="71">
        <f t="shared" si="8"/>
        <v>55846</v>
      </c>
      <c r="F132">
        <f t="shared" ca="1" si="9"/>
        <v>1720</v>
      </c>
      <c r="G132" t="s">
        <v>40</v>
      </c>
    </row>
    <row r="133" spans="1:7" x14ac:dyDescent="0.25">
      <c r="A133" s="71">
        <f t="shared" si="6"/>
        <v>48556</v>
      </c>
      <c r="B133">
        <f t="shared" ca="1" si="7"/>
        <v>577</v>
      </c>
      <c r="C133" t="s">
        <v>40</v>
      </c>
      <c r="E133" s="71">
        <f t="shared" si="8"/>
        <v>55936</v>
      </c>
      <c r="F133">
        <f t="shared" ca="1" si="9"/>
        <v>1720</v>
      </c>
      <c r="G133" t="s">
        <v>40</v>
      </c>
    </row>
    <row r="134" spans="1:7" x14ac:dyDescent="0.25">
      <c r="A134" s="71">
        <f t="shared" si="6"/>
        <v>48586</v>
      </c>
      <c r="B134">
        <f t="shared" ca="1" si="7"/>
        <v>577</v>
      </c>
      <c r="C134" t="s">
        <v>40</v>
      </c>
      <c r="E134" s="71">
        <f t="shared" si="8"/>
        <v>56026</v>
      </c>
      <c r="F134">
        <f t="shared" ca="1" si="9"/>
        <v>1720</v>
      </c>
      <c r="G134" t="s">
        <v>40</v>
      </c>
    </row>
    <row r="135" spans="1:7" x14ac:dyDescent="0.25">
      <c r="A135" s="71">
        <f t="shared" si="6"/>
        <v>48616</v>
      </c>
      <c r="B135">
        <f t="shared" ca="1" si="7"/>
        <v>577</v>
      </c>
      <c r="C135" t="s">
        <v>40</v>
      </c>
      <c r="E135" s="71">
        <f t="shared" si="8"/>
        <v>56116</v>
      </c>
      <c r="F135">
        <f t="shared" ca="1" si="9"/>
        <v>1720</v>
      </c>
      <c r="G135" t="s">
        <v>40</v>
      </c>
    </row>
    <row r="136" spans="1:7" x14ac:dyDescent="0.25">
      <c r="A136" s="71">
        <f t="shared" si="6"/>
        <v>48646</v>
      </c>
      <c r="B136">
        <f t="shared" ca="1" si="7"/>
        <v>577</v>
      </c>
      <c r="C136" t="s">
        <v>40</v>
      </c>
      <c r="E136" s="71">
        <f t="shared" si="8"/>
        <v>56206</v>
      </c>
      <c r="F136">
        <f t="shared" ca="1" si="9"/>
        <v>1720</v>
      </c>
      <c r="G136" t="s">
        <v>40</v>
      </c>
    </row>
    <row r="137" spans="1:7" x14ac:dyDescent="0.25">
      <c r="A137" s="71">
        <f t="shared" si="6"/>
        <v>48676</v>
      </c>
      <c r="B137">
        <f t="shared" ca="1" si="7"/>
        <v>577</v>
      </c>
      <c r="C137" t="s">
        <v>40</v>
      </c>
      <c r="E137" s="71">
        <f t="shared" si="8"/>
        <v>56296</v>
      </c>
      <c r="F137">
        <f t="shared" ca="1" si="9"/>
        <v>1720</v>
      </c>
      <c r="G137" t="s">
        <v>40</v>
      </c>
    </row>
    <row r="138" spans="1:7" x14ac:dyDescent="0.25">
      <c r="A138" s="71">
        <f t="shared" si="6"/>
        <v>48706</v>
      </c>
      <c r="B138">
        <f t="shared" ca="1" si="7"/>
        <v>577</v>
      </c>
      <c r="C138" t="s">
        <v>40</v>
      </c>
      <c r="E138" s="71">
        <f t="shared" si="8"/>
        <v>56386</v>
      </c>
      <c r="F138">
        <f t="shared" ca="1" si="9"/>
        <v>1720</v>
      </c>
      <c r="G138" t="s">
        <v>40</v>
      </c>
    </row>
    <row r="139" spans="1:7" x14ac:dyDescent="0.25">
      <c r="A139" s="71">
        <f t="shared" si="6"/>
        <v>48736</v>
      </c>
      <c r="B139">
        <f t="shared" ca="1" si="7"/>
        <v>577</v>
      </c>
      <c r="C139" t="s">
        <v>40</v>
      </c>
      <c r="E139" s="71">
        <f t="shared" si="8"/>
        <v>56476</v>
      </c>
      <c r="F139">
        <f t="shared" ca="1" si="9"/>
        <v>1720</v>
      </c>
      <c r="G139" t="s">
        <v>40</v>
      </c>
    </row>
    <row r="140" spans="1:7" x14ac:dyDescent="0.25">
      <c r="A140" s="71">
        <f t="shared" ref="A140:A203" si="12">A139+30</f>
        <v>48766</v>
      </c>
      <c r="B140">
        <f t="shared" ref="B140:B203" ca="1" si="13">B139</f>
        <v>577</v>
      </c>
      <c r="C140" t="s">
        <v>40</v>
      </c>
      <c r="E140" s="71">
        <f t="shared" ref="E140:E185" si="14">E139+90</f>
        <v>56566</v>
      </c>
      <c r="F140">
        <f t="shared" ref="F140:F185" ca="1" si="15">F139</f>
        <v>1720</v>
      </c>
      <c r="G140" t="s">
        <v>40</v>
      </c>
    </row>
    <row r="141" spans="1:7" x14ac:dyDescent="0.25">
      <c r="A141" s="71">
        <f t="shared" si="12"/>
        <v>48796</v>
      </c>
      <c r="B141">
        <f t="shared" ca="1" si="13"/>
        <v>577</v>
      </c>
      <c r="C141" t="s">
        <v>40</v>
      </c>
      <c r="E141" s="71">
        <f t="shared" si="14"/>
        <v>56656</v>
      </c>
      <c r="F141">
        <f t="shared" ca="1" si="15"/>
        <v>1720</v>
      </c>
      <c r="G141" t="s">
        <v>40</v>
      </c>
    </row>
    <row r="142" spans="1:7" x14ac:dyDescent="0.25">
      <c r="A142" s="71">
        <f t="shared" si="12"/>
        <v>48826</v>
      </c>
      <c r="B142">
        <f t="shared" ca="1" si="13"/>
        <v>577</v>
      </c>
      <c r="C142" t="s">
        <v>40</v>
      </c>
      <c r="E142" s="71">
        <f t="shared" si="14"/>
        <v>56746</v>
      </c>
      <c r="F142">
        <f t="shared" ca="1" si="15"/>
        <v>1720</v>
      </c>
      <c r="G142" t="s">
        <v>40</v>
      </c>
    </row>
    <row r="143" spans="1:7" x14ac:dyDescent="0.25">
      <c r="A143" s="71">
        <f t="shared" si="12"/>
        <v>48856</v>
      </c>
      <c r="B143">
        <f t="shared" ca="1" si="13"/>
        <v>577</v>
      </c>
      <c r="C143" t="s">
        <v>40</v>
      </c>
      <c r="E143" s="71">
        <f t="shared" si="14"/>
        <v>56836</v>
      </c>
      <c r="F143">
        <f t="shared" ca="1" si="15"/>
        <v>1720</v>
      </c>
      <c r="G143" t="s">
        <v>40</v>
      </c>
    </row>
    <row r="144" spans="1:7" x14ac:dyDescent="0.25">
      <c r="A144" s="71">
        <f t="shared" si="12"/>
        <v>48886</v>
      </c>
      <c r="B144">
        <f t="shared" ca="1" si="13"/>
        <v>577</v>
      </c>
      <c r="C144" t="s">
        <v>40</v>
      </c>
      <c r="E144" s="71">
        <f t="shared" si="14"/>
        <v>56926</v>
      </c>
      <c r="F144">
        <f t="shared" ca="1" si="15"/>
        <v>1720</v>
      </c>
      <c r="G144" t="s">
        <v>40</v>
      </c>
    </row>
    <row r="145" spans="1:7" x14ac:dyDescent="0.25">
      <c r="A145" s="71">
        <f t="shared" si="12"/>
        <v>48916</v>
      </c>
      <c r="B145">
        <f t="shared" ca="1" si="13"/>
        <v>577</v>
      </c>
      <c r="C145" t="s">
        <v>40</v>
      </c>
      <c r="E145" s="71">
        <f t="shared" si="14"/>
        <v>57016</v>
      </c>
      <c r="F145">
        <f t="shared" ca="1" si="15"/>
        <v>1720</v>
      </c>
      <c r="G145" t="s">
        <v>40</v>
      </c>
    </row>
    <row r="146" spans="1:7" x14ac:dyDescent="0.25">
      <c r="A146" s="71">
        <f t="shared" si="12"/>
        <v>48946</v>
      </c>
      <c r="B146">
        <f t="shared" ca="1" si="13"/>
        <v>577</v>
      </c>
      <c r="C146" t="s">
        <v>40</v>
      </c>
      <c r="E146" s="71">
        <f t="shared" si="14"/>
        <v>57106</v>
      </c>
      <c r="F146">
        <f t="shared" ca="1" si="15"/>
        <v>1720</v>
      </c>
      <c r="G146" t="s">
        <v>40</v>
      </c>
    </row>
    <row r="147" spans="1:7" x14ac:dyDescent="0.25">
      <c r="A147" s="71">
        <f t="shared" si="12"/>
        <v>48976</v>
      </c>
      <c r="B147">
        <f t="shared" ca="1" si="13"/>
        <v>577</v>
      </c>
      <c r="C147" t="s">
        <v>40</v>
      </c>
      <c r="E147" s="71">
        <f t="shared" si="14"/>
        <v>57196</v>
      </c>
      <c r="F147">
        <f t="shared" ca="1" si="15"/>
        <v>1720</v>
      </c>
      <c r="G147" t="s">
        <v>40</v>
      </c>
    </row>
    <row r="148" spans="1:7" x14ac:dyDescent="0.25">
      <c r="A148" s="71">
        <f t="shared" si="12"/>
        <v>49006</v>
      </c>
      <c r="B148">
        <f t="shared" ca="1" si="13"/>
        <v>577</v>
      </c>
      <c r="C148" t="s">
        <v>40</v>
      </c>
      <c r="E148" s="71">
        <f t="shared" si="14"/>
        <v>57286</v>
      </c>
      <c r="F148">
        <f t="shared" ca="1" si="15"/>
        <v>1720</v>
      </c>
      <c r="G148" t="s">
        <v>40</v>
      </c>
    </row>
    <row r="149" spans="1:7" x14ac:dyDescent="0.25">
      <c r="A149" s="71">
        <f t="shared" si="12"/>
        <v>49036</v>
      </c>
      <c r="B149">
        <f t="shared" ca="1" si="13"/>
        <v>577</v>
      </c>
      <c r="C149" t="s">
        <v>40</v>
      </c>
      <c r="E149" s="71">
        <f t="shared" si="14"/>
        <v>57376</v>
      </c>
      <c r="F149">
        <f t="shared" ca="1" si="15"/>
        <v>1720</v>
      </c>
      <c r="G149" t="s">
        <v>40</v>
      </c>
    </row>
    <row r="150" spans="1:7" x14ac:dyDescent="0.25">
      <c r="A150" s="71">
        <f t="shared" si="12"/>
        <v>49066</v>
      </c>
      <c r="B150">
        <f t="shared" ca="1" si="13"/>
        <v>577</v>
      </c>
      <c r="C150" t="s">
        <v>40</v>
      </c>
      <c r="E150" s="71">
        <f t="shared" si="14"/>
        <v>57466</v>
      </c>
      <c r="F150">
        <f t="shared" ca="1" si="15"/>
        <v>1720</v>
      </c>
      <c r="G150" t="s">
        <v>40</v>
      </c>
    </row>
    <row r="151" spans="1:7" x14ac:dyDescent="0.25">
      <c r="A151" s="71">
        <f t="shared" si="12"/>
        <v>49096</v>
      </c>
      <c r="B151">
        <f t="shared" ca="1" si="13"/>
        <v>577</v>
      </c>
      <c r="C151" t="s">
        <v>40</v>
      </c>
      <c r="E151" s="71">
        <f t="shared" si="14"/>
        <v>57556</v>
      </c>
      <c r="F151">
        <f t="shared" ca="1" si="15"/>
        <v>1720</v>
      </c>
      <c r="G151" t="s">
        <v>40</v>
      </c>
    </row>
    <row r="152" spans="1:7" x14ac:dyDescent="0.25">
      <c r="A152" s="71">
        <f t="shared" si="12"/>
        <v>49126</v>
      </c>
      <c r="B152">
        <f t="shared" ca="1" si="13"/>
        <v>577</v>
      </c>
      <c r="C152" t="s">
        <v>40</v>
      </c>
      <c r="E152" s="71">
        <f t="shared" si="14"/>
        <v>57646</v>
      </c>
      <c r="F152">
        <f t="shared" ca="1" si="15"/>
        <v>1720</v>
      </c>
      <c r="G152" t="s">
        <v>40</v>
      </c>
    </row>
    <row r="153" spans="1:7" x14ac:dyDescent="0.25">
      <c r="A153" s="71">
        <f t="shared" si="12"/>
        <v>49156</v>
      </c>
      <c r="B153">
        <f t="shared" ca="1" si="13"/>
        <v>577</v>
      </c>
      <c r="C153" t="s">
        <v>40</v>
      </c>
      <c r="E153" s="71">
        <f t="shared" si="14"/>
        <v>57736</v>
      </c>
      <c r="F153">
        <f t="shared" ca="1" si="15"/>
        <v>1720</v>
      </c>
      <c r="G153" t="s">
        <v>40</v>
      </c>
    </row>
    <row r="154" spans="1:7" x14ac:dyDescent="0.25">
      <c r="A154" s="71">
        <f t="shared" si="12"/>
        <v>49186</v>
      </c>
      <c r="B154">
        <f t="shared" ca="1" si="13"/>
        <v>577</v>
      </c>
      <c r="C154" t="s">
        <v>40</v>
      </c>
      <c r="E154" s="71">
        <f t="shared" si="14"/>
        <v>57826</v>
      </c>
      <c r="F154">
        <f t="shared" ca="1" si="15"/>
        <v>1720</v>
      </c>
      <c r="G154" t="s">
        <v>40</v>
      </c>
    </row>
    <row r="155" spans="1:7" x14ac:dyDescent="0.25">
      <c r="A155" s="71">
        <f t="shared" si="12"/>
        <v>49216</v>
      </c>
      <c r="B155">
        <f t="shared" ca="1" si="13"/>
        <v>577</v>
      </c>
      <c r="C155" t="s">
        <v>40</v>
      </c>
      <c r="E155" s="71">
        <f t="shared" si="14"/>
        <v>57916</v>
      </c>
      <c r="F155">
        <f t="shared" ca="1" si="15"/>
        <v>1720</v>
      </c>
      <c r="G155" t="s">
        <v>40</v>
      </c>
    </row>
    <row r="156" spans="1:7" x14ac:dyDescent="0.25">
      <c r="A156" s="71">
        <f t="shared" si="12"/>
        <v>49246</v>
      </c>
      <c r="B156">
        <f t="shared" ca="1" si="13"/>
        <v>577</v>
      </c>
      <c r="C156" t="s">
        <v>40</v>
      </c>
      <c r="E156" s="71">
        <f t="shared" si="14"/>
        <v>58006</v>
      </c>
      <c r="F156">
        <f t="shared" ca="1" si="15"/>
        <v>1720</v>
      </c>
      <c r="G156" t="s">
        <v>40</v>
      </c>
    </row>
    <row r="157" spans="1:7" x14ac:dyDescent="0.25">
      <c r="A157" s="71">
        <f t="shared" si="12"/>
        <v>49276</v>
      </c>
      <c r="B157">
        <f t="shared" ca="1" si="13"/>
        <v>577</v>
      </c>
      <c r="C157" t="s">
        <v>40</v>
      </c>
      <c r="E157" s="71">
        <f t="shared" si="14"/>
        <v>58096</v>
      </c>
      <c r="F157">
        <f t="shared" ca="1" si="15"/>
        <v>1720</v>
      </c>
      <c r="G157" t="s">
        <v>40</v>
      </c>
    </row>
    <row r="158" spans="1:7" x14ac:dyDescent="0.25">
      <c r="A158" s="71">
        <f t="shared" si="12"/>
        <v>49306</v>
      </c>
      <c r="B158">
        <f t="shared" ca="1" si="13"/>
        <v>577</v>
      </c>
      <c r="C158" t="s">
        <v>40</v>
      </c>
      <c r="E158" s="71">
        <f t="shared" si="14"/>
        <v>58186</v>
      </c>
      <c r="F158">
        <f t="shared" ca="1" si="15"/>
        <v>1720</v>
      </c>
      <c r="G158" t="s">
        <v>40</v>
      </c>
    </row>
    <row r="159" spans="1:7" x14ac:dyDescent="0.25">
      <c r="A159" s="71">
        <f t="shared" si="12"/>
        <v>49336</v>
      </c>
      <c r="B159">
        <f t="shared" ca="1" si="13"/>
        <v>577</v>
      </c>
      <c r="C159" t="s">
        <v>40</v>
      </c>
      <c r="E159" s="71">
        <f t="shared" si="14"/>
        <v>58276</v>
      </c>
      <c r="F159">
        <f t="shared" ca="1" si="15"/>
        <v>1720</v>
      </c>
      <c r="G159" t="s">
        <v>40</v>
      </c>
    </row>
    <row r="160" spans="1:7" x14ac:dyDescent="0.25">
      <c r="A160" s="71">
        <f t="shared" si="12"/>
        <v>49366</v>
      </c>
      <c r="B160">
        <f t="shared" ca="1" si="13"/>
        <v>577</v>
      </c>
      <c r="C160" t="s">
        <v>40</v>
      </c>
      <c r="E160" s="71">
        <f t="shared" si="14"/>
        <v>58366</v>
      </c>
      <c r="F160">
        <f t="shared" ca="1" si="15"/>
        <v>1720</v>
      </c>
      <c r="G160" t="s">
        <v>40</v>
      </c>
    </row>
    <row r="161" spans="1:7" x14ac:dyDescent="0.25">
      <c r="A161" s="71">
        <f t="shared" si="12"/>
        <v>49396</v>
      </c>
      <c r="B161">
        <f t="shared" ca="1" si="13"/>
        <v>577</v>
      </c>
      <c r="C161" t="s">
        <v>40</v>
      </c>
      <c r="E161" s="71">
        <f t="shared" si="14"/>
        <v>58456</v>
      </c>
      <c r="F161">
        <f t="shared" ca="1" si="15"/>
        <v>1720</v>
      </c>
      <c r="G161" t="s">
        <v>40</v>
      </c>
    </row>
    <row r="162" spans="1:7" x14ac:dyDescent="0.25">
      <c r="A162" s="71">
        <f t="shared" si="12"/>
        <v>49426</v>
      </c>
      <c r="B162">
        <f t="shared" ca="1" si="13"/>
        <v>577</v>
      </c>
      <c r="C162" t="s">
        <v>40</v>
      </c>
      <c r="E162" s="71">
        <f t="shared" si="14"/>
        <v>58546</v>
      </c>
      <c r="F162">
        <f t="shared" ca="1" si="15"/>
        <v>1720</v>
      </c>
      <c r="G162" t="s">
        <v>40</v>
      </c>
    </row>
    <row r="163" spans="1:7" x14ac:dyDescent="0.25">
      <c r="A163" s="71">
        <f t="shared" si="12"/>
        <v>49456</v>
      </c>
      <c r="B163">
        <f t="shared" ca="1" si="13"/>
        <v>577</v>
      </c>
      <c r="C163" t="s">
        <v>40</v>
      </c>
      <c r="E163" s="71">
        <f t="shared" si="14"/>
        <v>58636</v>
      </c>
      <c r="F163">
        <f t="shared" ca="1" si="15"/>
        <v>1720</v>
      </c>
      <c r="G163" t="s">
        <v>40</v>
      </c>
    </row>
    <row r="164" spans="1:7" x14ac:dyDescent="0.25">
      <c r="A164" s="71">
        <f t="shared" si="12"/>
        <v>49486</v>
      </c>
      <c r="B164">
        <f t="shared" ca="1" si="13"/>
        <v>577</v>
      </c>
      <c r="C164" t="s">
        <v>40</v>
      </c>
      <c r="E164" s="71">
        <f t="shared" si="14"/>
        <v>58726</v>
      </c>
      <c r="F164">
        <f t="shared" ca="1" si="15"/>
        <v>1720</v>
      </c>
      <c r="G164" t="s">
        <v>40</v>
      </c>
    </row>
    <row r="165" spans="1:7" x14ac:dyDescent="0.25">
      <c r="A165" s="71">
        <f t="shared" si="12"/>
        <v>49516</v>
      </c>
      <c r="B165">
        <f t="shared" ca="1" si="13"/>
        <v>577</v>
      </c>
      <c r="C165" t="s">
        <v>40</v>
      </c>
      <c r="E165" s="71">
        <f t="shared" si="14"/>
        <v>58816</v>
      </c>
      <c r="F165">
        <f t="shared" ca="1" si="15"/>
        <v>1720</v>
      </c>
      <c r="G165" t="s">
        <v>40</v>
      </c>
    </row>
    <row r="166" spans="1:7" x14ac:dyDescent="0.25">
      <c r="A166" s="71">
        <f t="shared" si="12"/>
        <v>49546</v>
      </c>
      <c r="B166">
        <f t="shared" ca="1" si="13"/>
        <v>577</v>
      </c>
      <c r="C166" t="s">
        <v>40</v>
      </c>
      <c r="E166" s="71">
        <f t="shared" si="14"/>
        <v>58906</v>
      </c>
      <c r="F166">
        <f t="shared" ca="1" si="15"/>
        <v>1720</v>
      </c>
      <c r="G166" t="s">
        <v>40</v>
      </c>
    </row>
    <row r="167" spans="1:7" x14ac:dyDescent="0.25">
      <c r="A167" s="71">
        <f t="shared" si="12"/>
        <v>49576</v>
      </c>
      <c r="B167">
        <f t="shared" ca="1" si="13"/>
        <v>577</v>
      </c>
      <c r="C167" t="s">
        <v>40</v>
      </c>
      <c r="E167" s="71">
        <f t="shared" si="14"/>
        <v>58996</v>
      </c>
      <c r="F167">
        <f t="shared" ca="1" si="15"/>
        <v>1720</v>
      </c>
      <c r="G167" t="s">
        <v>40</v>
      </c>
    </row>
    <row r="168" spans="1:7" x14ac:dyDescent="0.25">
      <c r="A168" s="71">
        <f t="shared" si="12"/>
        <v>49606</v>
      </c>
      <c r="B168">
        <f t="shared" ca="1" si="13"/>
        <v>577</v>
      </c>
      <c r="C168" t="s">
        <v>40</v>
      </c>
      <c r="E168" s="71">
        <f t="shared" si="14"/>
        <v>59086</v>
      </c>
      <c r="F168">
        <f t="shared" ca="1" si="15"/>
        <v>1720</v>
      </c>
      <c r="G168" t="s">
        <v>40</v>
      </c>
    </row>
    <row r="169" spans="1:7" x14ac:dyDescent="0.25">
      <c r="A169" s="71">
        <f t="shared" si="12"/>
        <v>49636</v>
      </c>
      <c r="B169">
        <f t="shared" ca="1" si="13"/>
        <v>577</v>
      </c>
      <c r="C169" t="s">
        <v>40</v>
      </c>
      <c r="E169" s="71">
        <f t="shared" si="14"/>
        <v>59176</v>
      </c>
      <c r="F169">
        <f t="shared" ca="1" si="15"/>
        <v>1720</v>
      </c>
      <c r="G169" t="s">
        <v>40</v>
      </c>
    </row>
    <row r="170" spans="1:7" x14ac:dyDescent="0.25">
      <c r="A170" s="71">
        <f t="shared" si="12"/>
        <v>49666</v>
      </c>
      <c r="B170">
        <f t="shared" ca="1" si="13"/>
        <v>577</v>
      </c>
      <c r="C170" t="s">
        <v>40</v>
      </c>
      <c r="E170" s="71">
        <f t="shared" si="14"/>
        <v>59266</v>
      </c>
      <c r="F170">
        <f t="shared" ca="1" si="15"/>
        <v>1720</v>
      </c>
      <c r="G170" t="s">
        <v>40</v>
      </c>
    </row>
    <row r="171" spans="1:7" x14ac:dyDescent="0.25">
      <c r="A171" s="71">
        <f t="shared" si="12"/>
        <v>49696</v>
      </c>
      <c r="B171">
        <f t="shared" ca="1" si="13"/>
        <v>577</v>
      </c>
      <c r="C171" t="s">
        <v>40</v>
      </c>
      <c r="E171" s="71">
        <f t="shared" si="14"/>
        <v>59356</v>
      </c>
      <c r="F171">
        <f t="shared" ca="1" si="15"/>
        <v>1720</v>
      </c>
      <c r="G171" t="s">
        <v>40</v>
      </c>
    </row>
    <row r="172" spans="1:7" x14ac:dyDescent="0.25">
      <c r="A172" s="71">
        <f t="shared" si="12"/>
        <v>49726</v>
      </c>
      <c r="B172">
        <f t="shared" ca="1" si="13"/>
        <v>577</v>
      </c>
      <c r="C172" t="s">
        <v>40</v>
      </c>
      <c r="E172" s="71">
        <f t="shared" si="14"/>
        <v>59446</v>
      </c>
      <c r="F172">
        <f t="shared" ca="1" si="15"/>
        <v>1720</v>
      </c>
      <c r="G172" t="s">
        <v>40</v>
      </c>
    </row>
    <row r="173" spans="1:7" x14ac:dyDescent="0.25">
      <c r="A173" s="71">
        <f t="shared" si="12"/>
        <v>49756</v>
      </c>
      <c r="B173">
        <f t="shared" ca="1" si="13"/>
        <v>577</v>
      </c>
      <c r="C173" t="s">
        <v>40</v>
      </c>
      <c r="E173" s="71">
        <f t="shared" si="14"/>
        <v>59536</v>
      </c>
      <c r="F173">
        <f t="shared" ca="1" si="15"/>
        <v>1720</v>
      </c>
      <c r="G173" t="s">
        <v>40</v>
      </c>
    </row>
    <row r="174" spans="1:7" x14ac:dyDescent="0.25">
      <c r="A174" s="71">
        <f t="shared" si="12"/>
        <v>49786</v>
      </c>
      <c r="B174">
        <f t="shared" ca="1" si="13"/>
        <v>577</v>
      </c>
      <c r="C174" t="s">
        <v>40</v>
      </c>
      <c r="E174" s="71">
        <f t="shared" si="14"/>
        <v>59626</v>
      </c>
      <c r="F174">
        <f t="shared" ca="1" si="15"/>
        <v>1720</v>
      </c>
      <c r="G174" t="s">
        <v>40</v>
      </c>
    </row>
    <row r="175" spans="1:7" x14ac:dyDescent="0.25">
      <c r="A175" s="71">
        <f t="shared" si="12"/>
        <v>49816</v>
      </c>
      <c r="B175">
        <f t="shared" ca="1" si="13"/>
        <v>577</v>
      </c>
      <c r="C175" t="s">
        <v>40</v>
      </c>
      <c r="E175" s="71">
        <f t="shared" si="14"/>
        <v>59716</v>
      </c>
      <c r="F175">
        <f t="shared" ca="1" si="15"/>
        <v>1720</v>
      </c>
      <c r="G175" t="s">
        <v>40</v>
      </c>
    </row>
    <row r="176" spans="1:7" x14ac:dyDescent="0.25">
      <c r="A176" s="71">
        <f t="shared" si="12"/>
        <v>49846</v>
      </c>
      <c r="B176">
        <f t="shared" ca="1" si="13"/>
        <v>577</v>
      </c>
      <c r="C176" t="s">
        <v>40</v>
      </c>
      <c r="E176" s="71">
        <f t="shared" si="14"/>
        <v>59806</v>
      </c>
      <c r="F176">
        <f t="shared" ca="1" si="15"/>
        <v>1720</v>
      </c>
      <c r="G176" t="s">
        <v>40</v>
      </c>
    </row>
    <row r="177" spans="1:7" x14ac:dyDescent="0.25">
      <c r="A177" s="71">
        <f t="shared" si="12"/>
        <v>49876</v>
      </c>
      <c r="B177">
        <f t="shared" ca="1" si="13"/>
        <v>577</v>
      </c>
      <c r="C177" t="s">
        <v>40</v>
      </c>
      <c r="E177" s="71">
        <f t="shared" si="14"/>
        <v>59896</v>
      </c>
      <c r="F177">
        <f t="shared" ca="1" si="15"/>
        <v>1720</v>
      </c>
      <c r="G177" t="s">
        <v>40</v>
      </c>
    </row>
    <row r="178" spans="1:7" x14ac:dyDescent="0.25">
      <c r="A178" s="71">
        <f t="shared" si="12"/>
        <v>49906</v>
      </c>
      <c r="B178">
        <f t="shared" ca="1" si="13"/>
        <v>577</v>
      </c>
      <c r="C178" t="s">
        <v>40</v>
      </c>
      <c r="E178" s="71">
        <f t="shared" si="14"/>
        <v>59986</v>
      </c>
      <c r="F178">
        <f t="shared" ca="1" si="15"/>
        <v>1720</v>
      </c>
      <c r="G178" t="s">
        <v>40</v>
      </c>
    </row>
    <row r="179" spans="1:7" x14ac:dyDescent="0.25">
      <c r="A179" s="71">
        <f t="shared" si="12"/>
        <v>49936</v>
      </c>
      <c r="B179">
        <f t="shared" ca="1" si="13"/>
        <v>577</v>
      </c>
      <c r="C179" t="s">
        <v>40</v>
      </c>
      <c r="E179" s="71">
        <f t="shared" si="14"/>
        <v>60076</v>
      </c>
      <c r="F179">
        <f t="shared" ca="1" si="15"/>
        <v>1720</v>
      </c>
      <c r="G179" t="s">
        <v>40</v>
      </c>
    </row>
    <row r="180" spans="1:7" x14ac:dyDescent="0.25">
      <c r="A180" s="71">
        <f t="shared" si="12"/>
        <v>49966</v>
      </c>
      <c r="B180">
        <f t="shared" ca="1" si="13"/>
        <v>577</v>
      </c>
      <c r="C180" t="s">
        <v>40</v>
      </c>
      <c r="E180" s="71">
        <f t="shared" si="14"/>
        <v>60166</v>
      </c>
      <c r="F180">
        <f t="shared" ca="1" si="15"/>
        <v>1720</v>
      </c>
      <c r="G180" t="s">
        <v>40</v>
      </c>
    </row>
    <row r="181" spans="1:7" x14ac:dyDescent="0.25">
      <c r="A181" s="71">
        <f t="shared" si="12"/>
        <v>49996</v>
      </c>
      <c r="B181">
        <f t="shared" ca="1" si="13"/>
        <v>577</v>
      </c>
      <c r="C181" t="s">
        <v>40</v>
      </c>
      <c r="E181" s="71">
        <f t="shared" si="14"/>
        <v>60256</v>
      </c>
      <c r="F181">
        <f t="shared" ca="1" si="15"/>
        <v>1720</v>
      </c>
      <c r="G181" t="s">
        <v>40</v>
      </c>
    </row>
    <row r="182" spans="1:7" x14ac:dyDescent="0.25">
      <c r="A182" s="71">
        <f t="shared" si="12"/>
        <v>50026</v>
      </c>
      <c r="B182">
        <f t="shared" ca="1" si="13"/>
        <v>577</v>
      </c>
      <c r="C182" t="s">
        <v>40</v>
      </c>
      <c r="E182" s="71">
        <f t="shared" si="14"/>
        <v>60346</v>
      </c>
      <c r="F182">
        <f t="shared" ca="1" si="15"/>
        <v>1720</v>
      </c>
      <c r="G182" t="s">
        <v>40</v>
      </c>
    </row>
    <row r="183" spans="1:7" x14ac:dyDescent="0.25">
      <c r="A183" s="71">
        <f t="shared" si="12"/>
        <v>50056</v>
      </c>
      <c r="B183">
        <f t="shared" ca="1" si="13"/>
        <v>577</v>
      </c>
      <c r="C183" t="s">
        <v>40</v>
      </c>
      <c r="E183" s="71">
        <f t="shared" si="14"/>
        <v>60436</v>
      </c>
      <c r="F183">
        <f t="shared" ca="1" si="15"/>
        <v>1720</v>
      </c>
      <c r="G183" t="s">
        <v>40</v>
      </c>
    </row>
    <row r="184" spans="1:7" x14ac:dyDescent="0.25">
      <c r="A184" s="71">
        <f t="shared" si="12"/>
        <v>50086</v>
      </c>
      <c r="B184">
        <f t="shared" ca="1" si="13"/>
        <v>577</v>
      </c>
      <c r="C184" t="s">
        <v>40</v>
      </c>
      <c r="E184" s="71">
        <f t="shared" si="14"/>
        <v>60526</v>
      </c>
      <c r="F184">
        <f t="shared" ca="1" si="15"/>
        <v>1720</v>
      </c>
      <c r="G184" t="s">
        <v>40</v>
      </c>
    </row>
    <row r="185" spans="1:7" x14ac:dyDescent="0.25">
      <c r="A185" s="71">
        <f t="shared" si="12"/>
        <v>50116</v>
      </c>
      <c r="B185">
        <f t="shared" ca="1" si="13"/>
        <v>577</v>
      </c>
      <c r="C185" t="s">
        <v>40</v>
      </c>
      <c r="E185" s="71">
        <f t="shared" si="14"/>
        <v>60616</v>
      </c>
      <c r="F185">
        <f t="shared" ca="1" si="15"/>
        <v>1720</v>
      </c>
      <c r="G185" t="s">
        <v>40</v>
      </c>
    </row>
    <row r="186" spans="1:7" x14ac:dyDescent="0.25">
      <c r="A186" s="71">
        <f t="shared" si="12"/>
        <v>50146</v>
      </c>
      <c r="B186">
        <f t="shared" ca="1" si="13"/>
        <v>577</v>
      </c>
      <c r="C186" t="s">
        <v>40</v>
      </c>
      <c r="E186" s="71"/>
    </row>
    <row r="187" spans="1:7" x14ac:dyDescent="0.25">
      <c r="A187" s="71">
        <f t="shared" si="12"/>
        <v>50176</v>
      </c>
      <c r="B187">
        <f t="shared" ca="1" si="13"/>
        <v>577</v>
      </c>
      <c r="C187" t="s">
        <v>40</v>
      </c>
      <c r="E187" s="71"/>
    </row>
    <row r="188" spans="1:7" x14ac:dyDescent="0.25">
      <c r="A188" s="71">
        <f t="shared" si="12"/>
        <v>50206</v>
      </c>
      <c r="B188">
        <f t="shared" ca="1" si="13"/>
        <v>577</v>
      </c>
      <c r="C188" t="s">
        <v>40</v>
      </c>
      <c r="E188" s="71"/>
    </row>
    <row r="189" spans="1:7" x14ac:dyDescent="0.25">
      <c r="A189" s="71">
        <f t="shared" si="12"/>
        <v>50236</v>
      </c>
      <c r="B189">
        <f t="shared" ca="1" si="13"/>
        <v>577</v>
      </c>
      <c r="C189" t="s">
        <v>40</v>
      </c>
      <c r="E189" s="71"/>
    </row>
    <row r="190" spans="1:7" x14ac:dyDescent="0.25">
      <c r="A190" s="71">
        <f t="shared" si="12"/>
        <v>50266</v>
      </c>
      <c r="B190">
        <f t="shared" ca="1" si="13"/>
        <v>577</v>
      </c>
      <c r="C190" t="s">
        <v>40</v>
      </c>
      <c r="E190" s="71"/>
    </row>
    <row r="191" spans="1:7" x14ac:dyDescent="0.25">
      <c r="A191" s="71">
        <f t="shared" si="12"/>
        <v>50296</v>
      </c>
      <c r="B191">
        <f t="shared" ca="1" si="13"/>
        <v>577</v>
      </c>
      <c r="C191" t="s">
        <v>40</v>
      </c>
      <c r="E191" s="71"/>
    </row>
    <row r="192" spans="1:7" x14ac:dyDescent="0.25">
      <c r="A192" s="71">
        <f t="shared" si="12"/>
        <v>50326</v>
      </c>
      <c r="B192">
        <f t="shared" ca="1" si="13"/>
        <v>577</v>
      </c>
      <c r="C192" t="s">
        <v>40</v>
      </c>
      <c r="E192" s="71"/>
    </row>
    <row r="193" spans="1:5" x14ac:dyDescent="0.25">
      <c r="A193" s="71">
        <f t="shared" si="12"/>
        <v>50356</v>
      </c>
      <c r="B193">
        <f t="shared" ca="1" si="13"/>
        <v>577</v>
      </c>
      <c r="C193" t="s">
        <v>40</v>
      </c>
      <c r="E193" s="71"/>
    </row>
    <row r="194" spans="1:5" x14ac:dyDescent="0.25">
      <c r="A194" s="71">
        <f t="shared" si="12"/>
        <v>50386</v>
      </c>
      <c r="B194">
        <f t="shared" ca="1" si="13"/>
        <v>577</v>
      </c>
      <c r="C194" t="s">
        <v>40</v>
      </c>
      <c r="E194" s="71"/>
    </row>
    <row r="195" spans="1:5" x14ac:dyDescent="0.25">
      <c r="A195" s="71">
        <f t="shared" si="12"/>
        <v>50416</v>
      </c>
      <c r="B195">
        <f t="shared" ca="1" si="13"/>
        <v>577</v>
      </c>
      <c r="C195" t="s">
        <v>40</v>
      </c>
      <c r="E195" s="71"/>
    </row>
    <row r="196" spans="1:5" x14ac:dyDescent="0.25">
      <c r="A196" s="71">
        <f t="shared" si="12"/>
        <v>50446</v>
      </c>
      <c r="B196">
        <f t="shared" ca="1" si="13"/>
        <v>577</v>
      </c>
      <c r="C196" t="s">
        <v>40</v>
      </c>
      <c r="E196" s="71"/>
    </row>
    <row r="197" spans="1:5" x14ac:dyDescent="0.25">
      <c r="A197" s="71">
        <f t="shared" si="12"/>
        <v>50476</v>
      </c>
      <c r="B197">
        <f t="shared" ca="1" si="13"/>
        <v>577</v>
      </c>
      <c r="C197" t="s">
        <v>40</v>
      </c>
      <c r="E197" s="71"/>
    </row>
    <row r="198" spans="1:5" x14ac:dyDescent="0.25">
      <c r="A198" s="71">
        <f t="shared" si="12"/>
        <v>50506</v>
      </c>
      <c r="B198">
        <f t="shared" ca="1" si="13"/>
        <v>577</v>
      </c>
      <c r="C198" t="s">
        <v>40</v>
      </c>
      <c r="E198" s="71"/>
    </row>
    <row r="199" spans="1:5" x14ac:dyDescent="0.25">
      <c r="A199" s="71">
        <f t="shared" si="12"/>
        <v>50536</v>
      </c>
      <c r="B199">
        <f t="shared" ca="1" si="13"/>
        <v>577</v>
      </c>
      <c r="C199" t="s">
        <v>40</v>
      </c>
      <c r="E199" s="71"/>
    </row>
    <row r="200" spans="1:5" x14ac:dyDescent="0.25">
      <c r="A200" s="71">
        <f t="shared" si="12"/>
        <v>50566</v>
      </c>
      <c r="B200">
        <f t="shared" ca="1" si="13"/>
        <v>577</v>
      </c>
      <c r="C200" t="s">
        <v>40</v>
      </c>
      <c r="E200" s="71"/>
    </row>
    <row r="201" spans="1:5" x14ac:dyDescent="0.25">
      <c r="A201" s="71">
        <f t="shared" si="12"/>
        <v>50596</v>
      </c>
      <c r="B201">
        <f t="shared" ca="1" si="13"/>
        <v>577</v>
      </c>
      <c r="C201" t="s">
        <v>40</v>
      </c>
      <c r="E201" s="71"/>
    </row>
    <row r="202" spans="1:5" x14ac:dyDescent="0.25">
      <c r="A202" s="71">
        <f t="shared" si="12"/>
        <v>50626</v>
      </c>
      <c r="B202">
        <f t="shared" ca="1" si="13"/>
        <v>577</v>
      </c>
      <c r="C202" t="s">
        <v>40</v>
      </c>
      <c r="E202" s="71"/>
    </row>
    <row r="203" spans="1:5" x14ac:dyDescent="0.25">
      <c r="A203" s="71">
        <f t="shared" si="12"/>
        <v>50656</v>
      </c>
      <c r="B203">
        <f t="shared" ca="1" si="13"/>
        <v>577</v>
      </c>
      <c r="C203" t="s">
        <v>40</v>
      </c>
      <c r="E203" s="71"/>
    </row>
    <row r="204" spans="1:5" x14ac:dyDescent="0.25">
      <c r="A204" s="71">
        <f t="shared" ref="A204:A267" si="16">A203+30</f>
        <v>50686</v>
      </c>
      <c r="B204">
        <f t="shared" ref="B204:B267" ca="1" si="17">B203</f>
        <v>577</v>
      </c>
      <c r="C204" t="s">
        <v>40</v>
      </c>
      <c r="E204" s="71"/>
    </row>
    <row r="205" spans="1:5" x14ac:dyDescent="0.25">
      <c r="A205" s="71">
        <f t="shared" si="16"/>
        <v>50716</v>
      </c>
      <c r="B205">
        <f t="shared" ca="1" si="17"/>
        <v>577</v>
      </c>
      <c r="C205" t="s">
        <v>40</v>
      </c>
      <c r="E205" s="71"/>
    </row>
    <row r="206" spans="1:5" x14ac:dyDescent="0.25">
      <c r="A206" s="71">
        <f t="shared" si="16"/>
        <v>50746</v>
      </c>
      <c r="B206">
        <f t="shared" ca="1" si="17"/>
        <v>577</v>
      </c>
      <c r="C206" t="s">
        <v>40</v>
      </c>
      <c r="E206" s="71"/>
    </row>
    <row r="207" spans="1:5" x14ac:dyDescent="0.25">
      <c r="A207" s="71">
        <f t="shared" si="16"/>
        <v>50776</v>
      </c>
      <c r="B207">
        <f t="shared" ca="1" si="17"/>
        <v>577</v>
      </c>
      <c r="C207" t="s">
        <v>40</v>
      </c>
      <c r="E207" s="71"/>
    </row>
    <row r="208" spans="1:5" x14ac:dyDescent="0.25">
      <c r="A208" s="71">
        <f t="shared" si="16"/>
        <v>50806</v>
      </c>
      <c r="B208">
        <f t="shared" ca="1" si="17"/>
        <v>577</v>
      </c>
      <c r="C208" t="s">
        <v>40</v>
      </c>
      <c r="E208" s="71"/>
    </row>
    <row r="209" spans="1:5" x14ac:dyDescent="0.25">
      <c r="A209" s="71">
        <f t="shared" si="16"/>
        <v>50836</v>
      </c>
      <c r="B209">
        <f t="shared" ca="1" si="17"/>
        <v>577</v>
      </c>
      <c r="C209" t="s">
        <v>40</v>
      </c>
      <c r="E209" s="71"/>
    </row>
    <row r="210" spans="1:5" x14ac:dyDescent="0.25">
      <c r="A210" s="71">
        <f t="shared" si="16"/>
        <v>50866</v>
      </c>
      <c r="B210">
        <f t="shared" ca="1" si="17"/>
        <v>577</v>
      </c>
      <c r="C210" t="s">
        <v>40</v>
      </c>
      <c r="E210" s="71"/>
    </row>
    <row r="211" spans="1:5" x14ac:dyDescent="0.25">
      <c r="A211" s="71">
        <f t="shared" si="16"/>
        <v>50896</v>
      </c>
      <c r="B211">
        <f t="shared" ca="1" si="17"/>
        <v>577</v>
      </c>
      <c r="C211" t="s">
        <v>40</v>
      </c>
      <c r="E211" s="71"/>
    </row>
    <row r="212" spans="1:5" x14ac:dyDescent="0.25">
      <c r="A212" s="71">
        <f t="shared" si="16"/>
        <v>50926</v>
      </c>
      <c r="B212">
        <f t="shared" ca="1" si="17"/>
        <v>577</v>
      </c>
      <c r="C212" t="s">
        <v>40</v>
      </c>
      <c r="E212" s="71"/>
    </row>
    <row r="213" spans="1:5" x14ac:dyDescent="0.25">
      <c r="A213" s="71">
        <f t="shared" si="16"/>
        <v>50956</v>
      </c>
      <c r="B213">
        <f t="shared" ca="1" si="17"/>
        <v>577</v>
      </c>
      <c r="C213" t="s">
        <v>40</v>
      </c>
      <c r="E213" s="71"/>
    </row>
    <row r="214" spans="1:5" x14ac:dyDescent="0.25">
      <c r="A214" s="71">
        <f t="shared" si="16"/>
        <v>50986</v>
      </c>
      <c r="B214">
        <f t="shared" ca="1" si="17"/>
        <v>577</v>
      </c>
      <c r="C214" t="s">
        <v>40</v>
      </c>
      <c r="E214" s="71"/>
    </row>
    <row r="215" spans="1:5" x14ac:dyDescent="0.25">
      <c r="A215" s="71">
        <f t="shared" si="16"/>
        <v>51016</v>
      </c>
      <c r="B215">
        <f t="shared" ca="1" si="17"/>
        <v>577</v>
      </c>
      <c r="C215" t="s">
        <v>40</v>
      </c>
      <c r="E215" s="71"/>
    </row>
    <row r="216" spans="1:5" x14ac:dyDescent="0.25">
      <c r="A216" s="71">
        <f t="shared" si="16"/>
        <v>51046</v>
      </c>
      <c r="B216">
        <f t="shared" ca="1" si="17"/>
        <v>577</v>
      </c>
      <c r="C216" t="s">
        <v>40</v>
      </c>
      <c r="E216" s="71"/>
    </row>
    <row r="217" spans="1:5" x14ac:dyDescent="0.25">
      <c r="A217" s="71">
        <f t="shared" si="16"/>
        <v>51076</v>
      </c>
      <c r="B217">
        <f t="shared" ca="1" si="17"/>
        <v>577</v>
      </c>
      <c r="C217" t="s">
        <v>40</v>
      </c>
      <c r="E217" s="71"/>
    </row>
    <row r="218" spans="1:5" x14ac:dyDescent="0.25">
      <c r="A218" s="71">
        <f t="shared" si="16"/>
        <v>51106</v>
      </c>
      <c r="B218">
        <f t="shared" ca="1" si="17"/>
        <v>577</v>
      </c>
      <c r="C218" t="s">
        <v>40</v>
      </c>
      <c r="E218" s="71"/>
    </row>
    <row r="219" spans="1:5" x14ac:dyDescent="0.25">
      <c r="A219" s="71">
        <f t="shared" si="16"/>
        <v>51136</v>
      </c>
      <c r="B219">
        <f t="shared" ca="1" si="17"/>
        <v>577</v>
      </c>
      <c r="C219" t="s">
        <v>40</v>
      </c>
      <c r="E219" s="71"/>
    </row>
    <row r="220" spans="1:5" x14ac:dyDescent="0.25">
      <c r="A220" s="71">
        <f t="shared" si="16"/>
        <v>51166</v>
      </c>
      <c r="B220">
        <f t="shared" ca="1" si="17"/>
        <v>577</v>
      </c>
      <c r="C220" t="s">
        <v>40</v>
      </c>
      <c r="E220" s="71"/>
    </row>
    <row r="221" spans="1:5" x14ac:dyDescent="0.25">
      <c r="A221" s="71">
        <f t="shared" si="16"/>
        <v>51196</v>
      </c>
      <c r="B221">
        <f t="shared" ca="1" si="17"/>
        <v>577</v>
      </c>
      <c r="C221" t="s">
        <v>40</v>
      </c>
      <c r="E221" s="71"/>
    </row>
    <row r="222" spans="1:5" x14ac:dyDescent="0.25">
      <c r="A222" s="71">
        <f t="shared" si="16"/>
        <v>51226</v>
      </c>
      <c r="B222">
        <f t="shared" ca="1" si="17"/>
        <v>577</v>
      </c>
      <c r="C222" t="s">
        <v>40</v>
      </c>
      <c r="E222" s="71"/>
    </row>
    <row r="223" spans="1:5" x14ac:dyDescent="0.25">
      <c r="A223" s="71">
        <f t="shared" si="16"/>
        <v>51256</v>
      </c>
      <c r="B223">
        <f t="shared" ca="1" si="17"/>
        <v>577</v>
      </c>
      <c r="C223" t="s">
        <v>40</v>
      </c>
      <c r="E223" s="71"/>
    </row>
    <row r="224" spans="1:5" x14ac:dyDescent="0.25">
      <c r="A224" s="71">
        <f t="shared" si="16"/>
        <v>51286</v>
      </c>
      <c r="B224">
        <f t="shared" ca="1" si="17"/>
        <v>577</v>
      </c>
      <c r="C224" t="s">
        <v>40</v>
      </c>
      <c r="E224" s="71"/>
    </row>
    <row r="225" spans="1:5" x14ac:dyDescent="0.25">
      <c r="A225" s="71">
        <f t="shared" si="16"/>
        <v>51316</v>
      </c>
      <c r="B225">
        <f t="shared" ca="1" si="17"/>
        <v>577</v>
      </c>
      <c r="C225" t="s">
        <v>40</v>
      </c>
      <c r="E225" s="71"/>
    </row>
    <row r="226" spans="1:5" x14ac:dyDescent="0.25">
      <c r="A226" s="71">
        <f t="shared" si="16"/>
        <v>51346</v>
      </c>
      <c r="B226">
        <f t="shared" ca="1" si="17"/>
        <v>577</v>
      </c>
      <c r="C226" t="s">
        <v>40</v>
      </c>
      <c r="E226" s="71"/>
    </row>
    <row r="227" spans="1:5" x14ac:dyDescent="0.25">
      <c r="A227" s="71">
        <f t="shared" si="16"/>
        <v>51376</v>
      </c>
      <c r="B227">
        <f t="shared" ca="1" si="17"/>
        <v>577</v>
      </c>
      <c r="C227" t="s">
        <v>40</v>
      </c>
      <c r="E227" s="71"/>
    </row>
    <row r="228" spans="1:5" x14ac:dyDescent="0.25">
      <c r="A228" s="71">
        <f t="shared" si="16"/>
        <v>51406</v>
      </c>
      <c r="B228">
        <f t="shared" ca="1" si="17"/>
        <v>577</v>
      </c>
      <c r="C228" t="s">
        <v>40</v>
      </c>
      <c r="E228" s="71"/>
    </row>
    <row r="229" spans="1:5" x14ac:dyDescent="0.25">
      <c r="A229" s="71">
        <f t="shared" si="16"/>
        <v>51436</v>
      </c>
      <c r="B229">
        <f t="shared" ca="1" si="17"/>
        <v>577</v>
      </c>
      <c r="C229" t="s">
        <v>40</v>
      </c>
      <c r="E229" s="71"/>
    </row>
    <row r="230" spans="1:5" x14ac:dyDescent="0.25">
      <c r="A230" s="71">
        <f t="shared" si="16"/>
        <v>51466</v>
      </c>
      <c r="B230">
        <f t="shared" ca="1" si="17"/>
        <v>577</v>
      </c>
      <c r="C230" t="s">
        <v>40</v>
      </c>
      <c r="E230" s="71"/>
    </row>
    <row r="231" spans="1:5" x14ac:dyDescent="0.25">
      <c r="A231" s="71">
        <f t="shared" si="16"/>
        <v>51496</v>
      </c>
      <c r="B231">
        <f t="shared" ca="1" si="17"/>
        <v>577</v>
      </c>
      <c r="C231" t="s">
        <v>40</v>
      </c>
      <c r="E231" s="71"/>
    </row>
    <row r="232" spans="1:5" x14ac:dyDescent="0.25">
      <c r="A232" s="71">
        <f t="shared" si="16"/>
        <v>51526</v>
      </c>
      <c r="B232">
        <f t="shared" ca="1" si="17"/>
        <v>577</v>
      </c>
      <c r="C232" t="s">
        <v>40</v>
      </c>
      <c r="E232" s="71"/>
    </row>
    <row r="233" spans="1:5" x14ac:dyDescent="0.25">
      <c r="A233" s="71">
        <f t="shared" si="16"/>
        <v>51556</v>
      </c>
      <c r="B233">
        <f t="shared" ca="1" si="17"/>
        <v>577</v>
      </c>
      <c r="C233" t="s">
        <v>40</v>
      </c>
      <c r="E233" s="71"/>
    </row>
    <row r="234" spans="1:5" x14ac:dyDescent="0.25">
      <c r="A234" s="71">
        <f t="shared" si="16"/>
        <v>51586</v>
      </c>
      <c r="B234">
        <f t="shared" ca="1" si="17"/>
        <v>577</v>
      </c>
      <c r="C234" t="s">
        <v>40</v>
      </c>
      <c r="E234" s="71"/>
    </row>
    <row r="235" spans="1:5" x14ac:dyDescent="0.25">
      <c r="A235" s="71">
        <f t="shared" si="16"/>
        <v>51616</v>
      </c>
      <c r="B235">
        <f t="shared" ca="1" si="17"/>
        <v>577</v>
      </c>
      <c r="C235" t="s">
        <v>40</v>
      </c>
      <c r="E235" s="71"/>
    </row>
    <row r="236" spans="1:5" x14ac:dyDescent="0.25">
      <c r="A236" s="71">
        <f t="shared" si="16"/>
        <v>51646</v>
      </c>
      <c r="B236">
        <f t="shared" ca="1" si="17"/>
        <v>577</v>
      </c>
      <c r="C236" t="s">
        <v>40</v>
      </c>
      <c r="E236" s="71"/>
    </row>
    <row r="237" spans="1:5" x14ac:dyDescent="0.25">
      <c r="A237" s="71">
        <f t="shared" si="16"/>
        <v>51676</v>
      </c>
      <c r="B237">
        <f t="shared" ca="1" si="17"/>
        <v>577</v>
      </c>
      <c r="C237" t="s">
        <v>40</v>
      </c>
      <c r="E237" s="71"/>
    </row>
    <row r="238" spans="1:5" x14ac:dyDescent="0.25">
      <c r="A238" s="71">
        <f t="shared" si="16"/>
        <v>51706</v>
      </c>
      <c r="B238">
        <f t="shared" ca="1" si="17"/>
        <v>577</v>
      </c>
      <c r="C238" t="s">
        <v>40</v>
      </c>
      <c r="E238" s="71"/>
    </row>
    <row r="239" spans="1:5" x14ac:dyDescent="0.25">
      <c r="A239" s="71">
        <f t="shared" si="16"/>
        <v>51736</v>
      </c>
      <c r="B239">
        <f t="shared" ca="1" si="17"/>
        <v>577</v>
      </c>
      <c r="C239" t="s">
        <v>40</v>
      </c>
      <c r="E239" s="71"/>
    </row>
    <row r="240" spans="1:5" x14ac:dyDescent="0.25">
      <c r="A240" s="71">
        <f t="shared" si="16"/>
        <v>51766</v>
      </c>
      <c r="B240">
        <f t="shared" ca="1" si="17"/>
        <v>577</v>
      </c>
      <c r="C240" t="s">
        <v>40</v>
      </c>
      <c r="E240" s="71"/>
    </row>
    <row r="241" spans="1:5" x14ac:dyDescent="0.25">
      <c r="A241" s="71">
        <f t="shared" si="16"/>
        <v>51796</v>
      </c>
      <c r="B241">
        <f t="shared" ca="1" si="17"/>
        <v>577</v>
      </c>
      <c r="C241" t="s">
        <v>40</v>
      </c>
      <c r="E241" s="71"/>
    </row>
    <row r="242" spans="1:5" x14ac:dyDescent="0.25">
      <c r="A242" s="71">
        <f t="shared" si="16"/>
        <v>51826</v>
      </c>
      <c r="B242">
        <f t="shared" ca="1" si="17"/>
        <v>577</v>
      </c>
      <c r="C242" t="s">
        <v>40</v>
      </c>
      <c r="E242" s="71"/>
    </row>
    <row r="243" spans="1:5" x14ac:dyDescent="0.25">
      <c r="A243" s="71">
        <f t="shared" si="16"/>
        <v>51856</v>
      </c>
      <c r="B243">
        <f t="shared" ca="1" si="17"/>
        <v>577</v>
      </c>
      <c r="C243" t="s">
        <v>40</v>
      </c>
      <c r="E243" s="71"/>
    </row>
    <row r="244" spans="1:5" x14ac:dyDescent="0.25">
      <c r="A244" s="71">
        <f t="shared" si="16"/>
        <v>51886</v>
      </c>
      <c r="B244">
        <f t="shared" ca="1" si="17"/>
        <v>577</v>
      </c>
      <c r="C244" t="s">
        <v>40</v>
      </c>
      <c r="E244" s="71"/>
    </row>
    <row r="245" spans="1:5" x14ac:dyDescent="0.25">
      <c r="A245" s="71">
        <f t="shared" si="16"/>
        <v>51916</v>
      </c>
      <c r="B245">
        <f t="shared" ca="1" si="17"/>
        <v>577</v>
      </c>
      <c r="C245" t="s">
        <v>40</v>
      </c>
      <c r="E245" s="71"/>
    </row>
    <row r="246" spans="1:5" x14ac:dyDescent="0.25">
      <c r="A246" s="71">
        <f t="shared" si="16"/>
        <v>51946</v>
      </c>
      <c r="B246">
        <f t="shared" ca="1" si="17"/>
        <v>577</v>
      </c>
      <c r="C246" t="s">
        <v>40</v>
      </c>
      <c r="E246" s="71"/>
    </row>
    <row r="247" spans="1:5" x14ac:dyDescent="0.25">
      <c r="A247" s="71">
        <f t="shared" si="16"/>
        <v>51976</v>
      </c>
      <c r="B247">
        <f t="shared" ca="1" si="17"/>
        <v>577</v>
      </c>
      <c r="C247" t="s">
        <v>40</v>
      </c>
      <c r="E247" s="71"/>
    </row>
    <row r="248" spans="1:5" x14ac:dyDescent="0.25">
      <c r="A248" s="71">
        <f t="shared" si="16"/>
        <v>52006</v>
      </c>
      <c r="B248">
        <f t="shared" ca="1" si="17"/>
        <v>577</v>
      </c>
      <c r="C248" t="s">
        <v>40</v>
      </c>
      <c r="E248" s="71"/>
    </row>
    <row r="249" spans="1:5" x14ac:dyDescent="0.25">
      <c r="A249" s="71">
        <f t="shared" si="16"/>
        <v>52036</v>
      </c>
      <c r="B249">
        <f t="shared" ca="1" si="17"/>
        <v>577</v>
      </c>
      <c r="C249" t="s">
        <v>40</v>
      </c>
      <c r="E249" s="71"/>
    </row>
    <row r="250" spans="1:5" x14ac:dyDescent="0.25">
      <c r="A250" s="71">
        <f t="shared" si="16"/>
        <v>52066</v>
      </c>
      <c r="B250">
        <f t="shared" ca="1" si="17"/>
        <v>577</v>
      </c>
      <c r="C250" t="s">
        <v>40</v>
      </c>
      <c r="E250" s="71"/>
    </row>
    <row r="251" spans="1:5" x14ac:dyDescent="0.25">
      <c r="A251" s="71">
        <f t="shared" si="16"/>
        <v>52096</v>
      </c>
      <c r="B251">
        <f t="shared" ca="1" si="17"/>
        <v>577</v>
      </c>
      <c r="C251" t="s">
        <v>40</v>
      </c>
      <c r="E251" s="71"/>
    </row>
    <row r="252" spans="1:5" x14ac:dyDescent="0.25">
      <c r="A252" s="71">
        <f t="shared" si="16"/>
        <v>52126</v>
      </c>
      <c r="B252">
        <f t="shared" ca="1" si="17"/>
        <v>577</v>
      </c>
      <c r="C252" t="s">
        <v>40</v>
      </c>
      <c r="E252" s="71"/>
    </row>
    <row r="253" spans="1:5" x14ac:dyDescent="0.25">
      <c r="A253" s="71">
        <f t="shared" si="16"/>
        <v>52156</v>
      </c>
      <c r="B253">
        <f t="shared" ca="1" si="17"/>
        <v>577</v>
      </c>
      <c r="C253" t="s">
        <v>40</v>
      </c>
      <c r="E253" s="71"/>
    </row>
    <row r="254" spans="1:5" x14ac:dyDescent="0.25">
      <c r="A254" s="71">
        <f t="shared" si="16"/>
        <v>52186</v>
      </c>
      <c r="B254">
        <f t="shared" ca="1" si="17"/>
        <v>577</v>
      </c>
      <c r="C254" t="s">
        <v>40</v>
      </c>
      <c r="E254" s="71"/>
    </row>
    <row r="255" spans="1:5" x14ac:dyDescent="0.25">
      <c r="A255" s="71">
        <f t="shared" si="16"/>
        <v>52216</v>
      </c>
      <c r="B255">
        <f t="shared" ca="1" si="17"/>
        <v>577</v>
      </c>
      <c r="C255" t="s">
        <v>40</v>
      </c>
      <c r="E255" s="71"/>
    </row>
    <row r="256" spans="1:5" x14ac:dyDescent="0.25">
      <c r="A256" s="71">
        <f t="shared" si="16"/>
        <v>52246</v>
      </c>
      <c r="B256">
        <f t="shared" ca="1" si="17"/>
        <v>577</v>
      </c>
      <c r="C256" t="s">
        <v>40</v>
      </c>
      <c r="E256" s="71"/>
    </row>
    <row r="257" spans="1:5" x14ac:dyDescent="0.25">
      <c r="A257" s="71">
        <f t="shared" si="16"/>
        <v>52276</v>
      </c>
      <c r="B257">
        <f t="shared" ca="1" si="17"/>
        <v>577</v>
      </c>
      <c r="C257" t="s">
        <v>40</v>
      </c>
      <c r="E257" s="71"/>
    </row>
    <row r="258" spans="1:5" x14ac:dyDescent="0.25">
      <c r="A258" s="71">
        <f t="shared" si="16"/>
        <v>52306</v>
      </c>
      <c r="B258">
        <f t="shared" ca="1" si="17"/>
        <v>577</v>
      </c>
      <c r="C258" t="s">
        <v>40</v>
      </c>
      <c r="E258" s="71"/>
    </row>
    <row r="259" spans="1:5" x14ac:dyDescent="0.25">
      <c r="A259" s="71">
        <f t="shared" si="16"/>
        <v>52336</v>
      </c>
      <c r="B259">
        <f t="shared" ca="1" si="17"/>
        <v>577</v>
      </c>
      <c r="C259" t="s">
        <v>40</v>
      </c>
      <c r="E259" s="71"/>
    </row>
    <row r="260" spans="1:5" x14ac:dyDescent="0.25">
      <c r="A260" s="71">
        <f t="shared" si="16"/>
        <v>52366</v>
      </c>
      <c r="B260">
        <f t="shared" ca="1" si="17"/>
        <v>577</v>
      </c>
      <c r="C260" t="s">
        <v>40</v>
      </c>
      <c r="E260" s="71"/>
    </row>
    <row r="261" spans="1:5" x14ac:dyDescent="0.25">
      <c r="A261" s="71">
        <f t="shared" si="16"/>
        <v>52396</v>
      </c>
      <c r="B261">
        <f t="shared" ca="1" si="17"/>
        <v>577</v>
      </c>
      <c r="C261" t="s">
        <v>40</v>
      </c>
      <c r="E261" s="71"/>
    </row>
    <row r="262" spans="1:5" x14ac:dyDescent="0.25">
      <c r="A262" s="71">
        <f t="shared" si="16"/>
        <v>52426</v>
      </c>
      <c r="B262">
        <f t="shared" ca="1" si="17"/>
        <v>577</v>
      </c>
      <c r="C262" t="s">
        <v>40</v>
      </c>
      <c r="E262" s="71"/>
    </row>
    <row r="263" spans="1:5" x14ac:dyDescent="0.25">
      <c r="A263" s="71">
        <f t="shared" si="16"/>
        <v>52456</v>
      </c>
      <c r="B263">
        <f t="shared" ca="1" si="17"/>
        <v>577</v>
      </c>
      <c r="C263" t="s">
        <v>40</v>
      </c>
      <c r="E263" s="71"/>
    </row>
    <row r="264" spans="1:5" x14ac:dyDescent="0.25">
      <c r="A264" s="71">
        <f t="shared" si="16"/>
        <v>52486</v>
      </c>
      <c r="B264">
        <f t="shared" ca="1" si="17"/>
        <v>577</v>
      </c>
      <c r="C264" t="s">
        <v>40</v>
      </c>
      <c r="E264" s="71"/>
    </row>
    <row r="265" spans="1:5" x14ac:dyDescent="0.25">
      <c r="A265" s="71">
        <f t="shared" si="16"/>
        <v>52516</v>
      </c>
      <c r="B265">
        <f t="shared" ca="1" si="17"/>
        <v>577</v>
      </c>
      <c r="C265" t="s">
        <v>40</v>
      </c>
      <c r="E265" s="71"/>
    </row>
    <row r="266" spans="1:5" x14ac:dyDescent="0.25">
      <c r="A266" s="71">
        <f t="shared" si="16"/>
        <v>52546</v>
      </c>
      <c r="B266">
        <f t="shared" ca="1" si="17"/>
        <v>577</v>
      </c>
      <c r="C266" t="s">
        <v>40</v>
      </c>
      <c r="E266" s="71"/>
    </row>
    <row r="267" spans="1:5" x14ac:dyDescent="0.25">
      <c r="A267" s="71">
        <f t="shared" si="16"/>
        <v>52576</v>
      </c>
      <c r="B267">
        <f t="shared" ca="1" si="17"/>
        <v>577</v>
      </c>
      <c r="C267" t="s">
        <v>40</v>
      </c>
      <c r="E267" s="71"/>
    </row>
    <row r="268" spans="1:5" x14ac:dyDescent="0.25">
      <c r="A268" s="71">
        <f t="shared" ref="A268:A331" si="18">A267+30</f>
        <v>52606</v>
      </c>
      <c r="B268">
        <f t="shared" ref="B268:B331" ca="1" si="19">B267</f>
        <v>577</v>
      </c>
      <c r="C268" t="s">
        <v>40</v>
      </c>
      <c r="E268" s="71"/>
    </row>
    <row r="269" spans="1:5" x14ac:dyDescent="0.25">
      <c r="A269" s="71">
        <f t="shared" si="18"/>
        <v>52636</v>
      </c>
      <c r="B269">
        <f t="shared" ca="1" si="19"/>
        <v>577</v>
      </c>
      <c r="C269" t="s">
        <v>40</v>
      </c>
      <c r="E269" s="71"/>
    </row>
    <row r="270" spans="1:5" x14ac:dyDescent="0.25">
      <c r="A270" s="71">
        <f t="shared" si="18"/>
        <v>52666</v>
      </c>
      <c r="B270">
        <f t="shared" ca="1" si="19"/>
        <v>577</v>
      </c>
      <c r="C270" t="s">
        <v>40</v>
      </c>
      <c r="E270" s="71"/>
    </row>
    <row r="271" spans="1:5" x14ac:dyDescent="0.25">
      <c r="A271" s="71">
        <f t="shared" si="18"/>
        <v>52696</v>
      </c>
      <c r="B271">
        <f t="shared" ca="1" si="19"/>
        <v>577</v>
      </c>
      <c r="C271" t="s">
        <v>40</v>
      </c>
      <c r="E271" s="71"/>
    </row>
    <row r="272" spans="1:5" x14ac:dyDescent="0.25">
      <c r="A272" s="71">
        <f t="shared" si="18"/>
        <v>52726</v>
      </c>
      <c r="B272">
        <f t="shared" ca="1" si="19"/>
        <v>577</v>
      </c>
      <c r="C272" t="s">
        <v>40</v>
      </c>
      <c r="E272" s="71"/>
    </row>
    <row r="273" spans="1:5" x14ac:dyDescent="0.25">
      <c r="A273" s="71">
        <f t="shared" si="18"/>
        <v>52756</v>
      </c>
      <c r="B273">
        <f t="shared" ca="1" si="19"/>
        <v>577</v>
      </c>
      <c r="C273" t="s">
        <v>40</v>
      </c>
      <c r="E273" s="71"/>
    </row>
    <row r="274" spans="1:5" x14ac:dyDescent="0.25">
      <c r="A274" s="71">
        <f t="shared" si="18"/>
        <v>52786</v>
      </c>
      <c r="B274">
        <f t="shared" ca="1" si="19"/>
        <v>577</v>
      </c>
      <c r="C274" t="s">
        <v>40</v>
      </c>
      <c r="E274" s="71"/>
    </row>
    <row r="275" spans="1:5" x14ac:dyDescent="0.25">
      <c r="A275" s="71">
        <f t="shared" si="18"/>
        <v>52816</v>
      </c>
      <c r="B275">
        <f t="shared" ca="1" si="19"/>
        <v>577</v>
      </c>
      <c r="C275" t="s">
        <v>40</v>
      </c>
      <c r="E275" s="71"/>
    </row>
    <row r="276" spans="1:5" x14ac:dyDescent="0.25">
      <c r="A276" s="71">
        <f t="shared" si="18"/>
        <v>52846</v>
      </c>
      <c r="B276">
        <f t="shared" ca="1" si="19"/>
        <v>577</v>
      </c>
      <c r="C276" t="s">
        <v>40</v>
      </c>
      <c r="E276" s="71"/>
    </row>
    <row r="277" spans="1:5" x14ac:dyDescent="0.25">
      <c r="A277" s="71">
        <f t="shared" si="18"/>
        <v>52876</v>
      </c>
      <c r="B277">
        <f t="shared" ca="1" si="19"/>
        <v>577</v>
      </c>
      <c r="C277" t="s">
        <v>40</v>
      </c>
      <c r="E277" s="71"/>
    </row>
    <row r="278" spans="1:5" x14ac:dyDescent="0.25">
      <c r="A278" s="71">
        <f t="shared" si="18"/>
        <v>52906</v>
      </c>
      <c r="B278">
        <f t="shared" ca="1" si="19"/>
        <v>577</v>
      </c>
      <c r="C278" t="s">
        <v>40</v>
      </c>
      <c r="E278" s="71"/>
    </row>
    <row r="279" spans="1:5" x14ac:dyDescent="0.25">
      <c r="A279" s="71">
        <f t="shared" si="18"/>
        <v>52936</v>
      </c>
      <c r="B279">
        <f t="shared" ca="1" si="19"/>
        <v>577</v>
      </c>
      <c r="C279" t="s">
        <v>40</v>
      </c>
      <c r="E279" s="71"/>
    </row>
    <row r="280" spans="1:5" x14ac:dyDescent="0.25">
      <c r="A280" s="71">
        <f t="shared" si="18"/>
        <v>52966</v>
      </c>
      <c r="B280">
        <f t="shared" ca="1" si="19"/>
        <v>577</v>
      </c>
      <c r="C280" t="s">
        <v>40</v>
      </c>
      <c r="E280" s="71"/>
    </row>
    <row r="281" spans="1:5" x14ac:dyDescent="0.25">
      <c r="A281" s="71">
        <f t="shared" si="18"/>
        <v>52996</v>
      </c>
      <c r="B281">
        <f t="shared" ca="1" si="19"/>
        <v>577</v>
      </c>
      <c r="C281" t="s">
        <v>40</v>
      </c>
      <c r="E281" s="71"/>
    </row>
    <row r="282" spans="1:5" x14ac:dyDescent="0.25">
      <c r="A282" s="71">
        <f t="shared" si="18"/>
        <v>53026</v>
      </c>
      <c r="B282">
        <f t="shared" ca="1" si="19"/>
        <v>577</v>
      </c>
      <c r="C282" t="s">
        <v>40</v>
      </c>
      <c r="E282" s="71"/>
    </row>
    <row r="283" spans="1:5" x14ac:dyDescent="0.25">
      <c r="A283" s="71">
        <f t="shared" si="18"/>
        <v>53056</v>
      </c>
      <c r="B283">
        <f t="shared" ca="1" si="19"/>
        <v>577</v>
      </c>
      <c r="C283" t="s">
        <v>40</v>
      </c>
      <c r="E283" s="71"/>
    </row>
    <row r="284" spans="1:5" x14ac:dyDescent="0.25">
      <c r="A284" s="71">
        <f t="shared" si="18"/>
        <v>53086</v>
      </c>
      <c r="B284">
        <f t="shared" ca="1" si="19"/>
        <v>577</v>
      </c>
      <c r="C284" t="s">
        <v>40</v>
      </c>
      <c r="E284" s="71"/>
    </row>
    <row r="285" spans="1:5" x14ac:dyDescent="0.25">
      <c r="A285" s="71">
        <f t="shared" si="18"/>
        <v>53116</v>
      </c>
      <c r="B285">
        <f t="shared" ca="1" si="19"/>
        <v>577</v>
      </c>
      <c r="C285" t="s">
        <v>40</v>
      </c>
      <c r="E285" s="71"/>
    </row>
    <row r="286" spans="1:5" x14ac:dyDescent="0.25">
      <c r="A286" s="71">
        <f t="shared" si="18"/>
        <v>53146</v>
      </c>
      <c r="B286">
        <f t="shared" ca="1" si="19"/>
        <v>577</v>
      </c>
      <c r="C286" t="s">
        <v>40</v>
      </c>
      <c r="E286" s="71"/>
    </row>
    <row r="287" spans="1:5" x14ac:dyDescent="0.25">
      <c r="A287" s="71">
        <f t="shared" si="18"/>
        <v>53176</v>
      </c>
      <c r="B287">
        <f t="shared" ca="1" si="19"/>
        <v>577</v>
      </c>
      <c r="C287" t="s">
        <v>40</v>
      </c>
      <c r="E287" s="71"/>
    </row>
    <row r="288" spans="1:5" x14ac:dyDescent="0.25">
      <c r="A288" s="71">
        <f t="shared" si="18"/>
        <v>53206</v>
      </c>
      <c r="B288">
        <f t="shared" ca="1" si="19"/>
        <v>577</v>
      </c>
      <c r="C288" t="s">
        <v>40</v>
      </c>
      <c r="E288" s="71"/>
    </row>
    <row r="289" spans="1:5" x14ac:dyDescent="0.25">
      <c r="A289" s="71">
        <f t="shared" si="18"/>
        <v>53236</v>
      </c>
      <c r="B289">
        <f t="shared" ca="1" si="19"/>
        <v>577</v>
      </c>
      <c r="C289" t="s">
        <v>40</v>
      </c>
      <c r="E289" s="71"/>
    </row>
    <row r="290" spans="1:5" x14ac:dyDescent="0.25">
      <c r="A290" s="71">
        <f t="shared" si="18"/>
        <v>53266</v>
      </c>
      <c r="B290">
        <f t="shared" ca="1" si="19"/>
        <v>577</v>
      </c>
      <c r="C290" t="s">
        <v>40</v>
      </c>
      <c r="E290" s="71"/>
    </row>
    <row r="291" spans="1:5" x14ac:dyDescent="0.25">
      <c r="A291" s="71">
        <f t="shared" si="18"/>
        <v>53296</v>
      </c>
      <c r="B291">
        <f t="shared" ca="1" si="19"/>
        <v>577</v>
      </c>
      <c r="C291" t="s">
        <v>40</v>
      </c>
      <c r="E291" s="71"/>
    </row>
    <row r="292" spans="1:5" x14ac:dyDescent="0.25">
      <c r="A292" s="71">
        <f t="shared" si="18"/>
        <v>53326</v>
      </c>
      <c r="B292">
        <f t="shared" ca="1" si="19"/>
        <v>577</v>
      </c>
      <c r="C292" t="s">
        <v>40</v>
      </c>
      <c r="E292" s="71"/>
    </row>
    <row r="293" spans="1:5" x14ac:dyDescent="0.25">
      <c r="A293" s="71">
        <f t="shared" si="18"/>
        <v>53356</v>
      </c>
      <c r="B293">
        <f t="shared" ca="1" si="19"/>
        <v>577</v>
      </c>
      <c r="C293" t="s">
        <v>40</v>
      </c>
      <c r="E293" s="71"/>
    </row>
    <row r="294" spans="1:5" x14ac:dyDescent="0.25">
      <c r="A294" s="71">
        <f t="shared" si="18"/>
        <v>53386</v>
      </c>
      <c r="B294">
        <f t="shared" ca="1" si="19"/>
        <v>577</v>
      </c>
      <c r="C294" t="s">
        <v>40</v>
      </c>
      <c r="E294" s="71"/>
    </row>
    <row r="295" spans="1:5" x14ac:dyDescent="0.25">
      <c r="A295" s="71">
        <f t="shared" si="18"/>
        <v>53416</v>
      </c>
      <c r="B295">
        <f t="shared" ca="1" si="19"/>
        <v>577</v>
      </c>
      <c r="C295" t="s">
        <v>40</v>
      </c>
      <c r="E295" s="71"/>
    </row>
    <row r="296" spans="1:5" x14ac:dyDescent="0.25">
      <c r="A296" s="71">
        <f t="shared" si="18"/>
        <v>53446</v>
      </c>
      <c r="B296">
        <f t="shared" ca="1" si="19"/>
        <v>577</v>
      </c>
      <c r="C296" t="s">
        <v>40</v>
      </c>
      <c r="E296" s="71"/>
    </row>
    <row r="297" spans="1:5" x14ac:dyDescent="0.25">
      <c r="A297" s="71">
        <f t="shared" si="18"/>
        <v>53476</v>
      </c>
      <c r="B297">
        <f t="shared" ca="1" si="19"/>
        <v>577</v>
      </c>
      <c r="C297" t="s">
        <v>40</v>
      </c>
      <c r="E297" s="71"/>
    </row>
    <row r="298" spans="1:5" x14ac:dyDescent="0.25">
      <c r="A298" s="71">
        <f t="shared" si="18"/>
        <v>53506</v>
      </c>
      <c r="B298">
        <f t="shared" ca="1" si="19"/>
        <v>577</v>
      </c>
      <c r="C298" t="s">
        <v>40</v>
      </c>
      <c r="E298" s="71"/>
    </row>
    <row r="299" spans="1:5" x14ac:dyDescent="0.25">
      <c r="A299" s="71">
        <f t="shared" si="18"/>
        <v>53536</v>
      </c>
      <c r="B299">
        <f t="shared" ca="1" si="19"/>
        <v>577</v>
      </c>
      <c r="C299" t="s">
        <v>40</v>
      </c>
      <c r="E299" s="71"/>
    </row>
    <row r="300" spans="1:5" x14ac:dyDescent="0.25">
      <c r="A300" s="71">
        <f t="shared" si="18"/>
        <v>53566</v>
      </c>
      <c r="B300">
        <f t="shared" ca="1" si="19"/>
        <v>577</v>
      </c>
      <c r="C300" t="s">
        <v>40</v>
      </c>
      <c r="E300" s="71"/>
    </row>
    <row r="301" spans="1:5" x14ac:dyDescent="0.25">
      <c r="A301" s="71">
        <f t="shared" si="18"/>
        <v>53596</v>
      </c>
      <c r="B301">
        <f t="shared" ca="1" si="19"/>
        <v>577</v>
      </c>
      <c r="C301" t="s">
        <v>40</v>
      </c>
      <c r="E301" s="71"/>
    </row>
    <row r="302" spans="1:5" x14ac:dyDescent="0.25">
      <c r="A302" s="71">
        <f t="shared" si="18"/>
        <v>53626</v>
      </c>
      <c r="B302">
        <f t="shared" ca="1" si="19"/>
        <v>577</v>
      </c>
      <c r="C302" t="s">
        <v>40</v>
      </c>
      <c r="E302" s="71"/>
    </row>
    <row r="303" spans="1:5" x14ac:dyDescent="0.25">
      <c r="A303" s="71">
        <f t="shared" si="18"/>
        <v>53656</v>
      </c>
      <c r="B303">
        <f t="shared" ca="1" si="19"/>
        <v>577</v>
      </c>
      <c r="C303" t="s">
        <v>40</v>
      </c>
      <c r="E303" s="71"/>
    </row>
    <row r="304" spans="1:5" x14ac:dyDescent="0.25">
      <c r="A304" s="71">
        <f t="shared" si="18"/>
        <v>53686</v>
      </c>
      <c r="B304">
        <f t="shared" ca="1" si="19"/>
        <v>577</v>
      </c>
      <c r="C304" t="s">
        <v>40</v>
      </c>
      <c r="E304" s="71"/>
    </row>
    <row r="305" spans="1:5" x14ac:dyDescent="0.25">
      <c r="A305" s="71">
        <f t="shared" si="18"/>
        <v>53716</v>
      </c>
      <c r="B305">
        <f t="shared" ca="1" si="19"/>
        <v>577</v>
      </c>
      <c r="C305" t="s">
        <v>40</v>
      </c>
      <c r="E305" s="71"/>
    </row>
    <row r="306" spans="1:5" x14ac:dyDescent="0.25">
      <c r="A306" s="71">
        <f t="shared" si="18"/>
        <v>53746</v>
      </c>
      <c r="B306">
        <f t="shared" ca="1" si="19"/>
        <v>577</v>
      </c>
      <c r="C306" t="s">
        <v>40</v>
      </c>
      <c r="E306" s="71"/>
    </row>
    <row r="307" spans="1:5" x14ac:dyDescent="0.25">
      <c r="A307" s="71">
        <f t="shared" si="18"/>
        <v>53776</v>
      </c>
      <c r="B307">
        <f t="shared" ca="1" si="19"/>
        <v>577</v>
      </c>
      <c r="C307" t="s">
        <v>40</v>
      </c>
      <c r="E307" s="71"/>
    </row>
    <row r="308" spans="1:5" x14ac:dyDescent="0.25">
      <c r="A308" s="71">
        <f t="shared" si="18"/>
        <v>53806</v>
      </c>
      <c r="B308">
        <f t="shared" ca="1" si="19"/>
        <v>577</v>
      </c>
      <c r="C308" t="s">
        <v>40</v>
      </c>
      <c r="E308" s="71"/>
    </row>
    <row r="309" spans="1:5" x14ac:dyDescent="0.25">
      <c r="A309" s="71">
        <f t="shared" si="18"/>
        <v>53836</v>
      </c>
      <c r="B309">
        <f t="shared" ca="1" si="19"/>
        <v>577</v>
      </c>
      <c r="C309" t="s">
        <v>40</v>
      </c>
      <c r="E309" s="71"/>
    </row>
    <row r="310" spans="1:5" x14ac:dyDescent="0.25">
      <c r="A310" s="71">
        <f t="shared" si="18"/>
        <v>53866</v>
      </c>
      <c r="B310">
        <f t="shared" ca="1" si="19"/>
        <v>577</v>
      </c>
      <c r="C310" t="s">
        <v>40</v>
      </c>
      <c r="E310" s="71"/>
    </row>
    <row r="311" spans="1:5" x14ac:dyDescent="0.25">
      <c r="A311" s="71">
        <f t="shared" si="18"/>
        <v>53896</v>
      </c>
      <c r="B311">
        <f t="shared" ca="1" si="19"/>
        <v>577</v>
      </c>
      <c r="C311" t="s">
        <v>40</v>
      </c>
      <c r="E311" s="71"/>
    </row>
    <row r="312" spans="1:5" x14ac:dyDescent="0.25">
      <c r="A312" s="71">
        <f t="shared" si="18"/>
        <v>53926</v>
      </c>
      <c r="B312">
        <f t="shared" ca="1" si="19"/>
        <v>577</v>
      </c>
      <c r="C312" t="s">
        <v>40</v>
      </c>
      <c r="E312" s="71"/>
    </row>
    <row r="313" spans="1:5" x14ac:dyDescent="0.25">
      <c r="A313" s="71">
        <f t="shared" si="18"/>
        <v>53956</v>
      </c>
      <c r="B313">
        <f t="shared" ca="1" si="19"/>
        <v>577</v>
      </c>
      <c r="C313" t="s">
        <v>40</v>
      </c>
      <c r="E313" s="71"/>
    </row>
    <row r="314" spans="1:5" x14ac:dyDescent="0.25">
      <c r="A314" s="71">
        <f t="shared" si="18"/>
        <v>53986</v>
      </c>
      <c r="B314">
        <f t="shared" ca="1" si="19"/>
        <v>577</v>
      </c>
      <c r="C314" t="s">
        <v>40</v>
      </c>
      <c r="E314" s="71"/>
    </row>
    <row r="315" spans="1:5" x14ac:dyDescent="0.25">
      <c r="A315" s="71">
        <f t="shared" si="18"/>
        <v>54016</v>
      </c>
      <c r="B315">
        <f t="shared" ca="1" si="19"/>
        <v>577</v>
      </c>
      <c r="C315" t="s">
        <v>40</v>
      </c>
      <c r="E315" s="71"/>
    </row>
    <row r="316" spans="1:5" x14ac:dyDescent="0.25">
      <c r="A316" s="71">
        <f t="shared" si="18"/>
        <v>54046</v>
      </c>
      <c r="B316">
        <f t="shared" ca="1" si="19"/>
        <v>577</v>
      </c>
      <c r="C316" t="s">
        <v>40</v>
      </c>
      <c r="E316" s="71"/>
    </row>
    <row r="317" spans="1:5" x14ac:dyDescent="0.25">
      <c r="A317" s="71">
        <f t="shared" si="18"/>
        <v>54076</v>
      </c>
      <c r="B317">
        <f t="shared" ca="1" si="19"/>
        <v>577</v>
      </c>
      <c r="C317" t="s">
        <v>40</v>
      </c>
      <c r="E317" s="71"/>
    </row>
    <row r="318" spans="1:5" x14ac:dyDescent="0.25">
      <c r="A318" s="71">
        <f t="shared" si="18"/>
        <v>54106</v>
      </c>
      <c r="B318">
        <f t="shared" ca="1" si="19"/>
        <v>577</v>
      </c>
      <c r="C318" t="s">
        <v>40</v>
      </c>
      <c r="E318" s="71"/>
    </row>
    <row r="319" spans="1:5" x14ac:dyDescent="0.25">
      <c r="A319" s="71">
        <f t="shared" si="18"/>
        <v>54136</v>
      </c>
      <c r="B319">
        <f t="shared" ca="1" si="19"/>
        <v>577</v>
      </c>
      <c r="C319" t="s">
        <v>40</v>
      </c>
      <c r="E319" s="71"/>
    </row>
    <row r="320" spans="1:5" x14ac:dyDescent="0.25">
      <c r="A320" s="71">
        <f t="shared" si="18"/>
        <v>54166</v>
      </c>
      <c r="B320">
        <f t="shared" ca="1" si="19"/>
        <v>577</v>
      </c>
      <c r="C320" t="s">
        <v>40</v>
      </c>
      <c r="E320" s="71"/>
    </row>
    <row r="321" spans="1:5" x14ac:dyDescent="0.25">
      <c r="A321" s="71">
        <f t="shared" si="18"/>
        <v>54196</v>
      </c>
      <c r="B321">
        <f t="shared" ca="1" si="19"/>
        <v>577</v>
      </c>
      <c r="C321" t="s">
        <v>40</v>
      </c>
      <c r="E321" s="71"/>
    </row>
    <row r="322" spans="1:5" x14ac:dyDescent="0.25">
      <c r="A322" s="71">
        <f t="shared" si="18"/>
        <v>54226</v>
      </c>
      <c r="B322">
        <f t="shared" ca="1" si="19"/>
        <v>577</v>
      </c>
      <c r="C322" t="s">
        <v>40</v>
      </c>
      <c r="E322" s="71"/>
    </row>
    <row r="323" spans="1:5" x14ac:dyDescent="0.25">
      <c r="A323" s="71">
        <f t="shared" si="18"/>
        <v>54256</v>
      </c>
      <c r="B323">
        <f t="shared" ca="1" si="19"/>
        <v>577</v>
      </c>
      <c r="C323" t="s">
        <v>40</v>
      </c>
      <c r="E323" s="71"/>
    </row>
    <row r="324" spans="1:5" x14ac:dyDescent="0.25">
      <c r="A324" s="71">
        <f t="shared" si="18"/>
        <v>54286</v>
      </c>
      <c r="B324">
        <f t="shared" ca="1" si="19"/>
        <v>577</v>
      </c>
      <c r="C324" t="s">
        <v>40</v>
      </c>
      <c r="E324" s="71"/>
    </row>
    <row r="325" spans="1:5" x14ac:dyDescent="0.25">
      <c r="A325" s="71">
        <f t="shared" si="18"/>
        <v>54316</v>
      </c>
      <c r="B325">
        <f t="shared" ca="1" si="19"/>
        <v>577</v>
      </c>
      <c r="C325" t="s">
        <v>40</v>
      </c>
      <c r="E325" s="71"/>
    </row>
    <row r="326" spans="1:5" x14ac:dyDescent="0.25">
      <c r="A326" s="71">
        <f t="shared" si="18"/>
        <v>54346</v>
      </c>
      <c r="B326">
        <f t="shared" ca="1" si="19"/>
        <v>577</v>
      </c>
      <c r="C326" t="s">
        <v>40</v>
      </c>
      <c r="E326" s="71"/>
    </row>
    <row r="327" spans="1:5" x14ac:dyDescent="0.25">
      <c r="A327" s="71">
        <f t="shared" si="18"/>
        <v>54376</v>
      </c>
      <c r="B327">
        <f t="shared" ca="1" si="19"/>
        <v>577</v>
      </c>
      <c r="C327" t="s">
        <v>40</v>
      </c>
      <c r="E327" s="71"/>
    </row>
    <row r="328" spans="1:5" x14ac:dyDescent="0.25">
      <c r="A328" s="71">
        <f t="shared" si="18"/>
        <v>54406</v>
      </c>
      <c r="B328">
        <f t="shared" ca="1" si="19"/>
        <v>577</v>
      </c>
      <c r="C328" t="s">
        <v>40</v>
      </c>
      <c r="E328" s="71"/>
    </row>
    <row r="329" spans="1:5" x14ac:dyDescent="0.25">
      <c r="A329" s="71">
        <f t="shared" si="18"/>
        <v>54436</v>
      </c>
      <c r="B329">
        <f t="shared" ca="1" si="19"/>
        <v>577</v>
      </c>
      <c r="C329" t="s">
        <v>40</v>
      </c>
      <c r="E329" s="71"/>
    </row>
    <row r="330" spans="1:5" x14ac:dyDescent="0.25">
      <c r="A330" s="71">
        <f t="shared" si="18"/>
        <v>54466</v>
      </c>
      <c r="B330">
        <f t="shared" ca="1" si="19"/>
        <v>577</v>
      </c>
      <c r="C330" t="s">
        <v>40</v>
      </c>
      <c r="E330" s="71"/>
    </row>
    <row r="331" spans="1:5" x14ac:dyDescent="0.25">
      <c r="A331" s="71">
        <f t="shared" si="18"/>
        <v>54496</v>
      </c>
      <c r="B331">
        <f t="shared" ca="1" si="19"/>
        <v>577</v>
      </c>
      <c r="C331" t="s">
        <v>40</v>
      </c>
      <c r="E331" s="71"/>
    </row>
    <row r="332" spans="1:5" x14ac:dyDescent="0.25">
      <c r="A332" s="71">
        <f t="shared" ref="A332:A395" si="20">A331+30</f>
        <v>54526</v>
      </c>
      <c r="B332">
        <f t="shared" ref="B332:B395" ca="1" si="21">B331</f>
        <v>577</v>
      </c>
      <c r="C332" t="s">
        <v>40</v>
      </c>
      <c r="E332" s="71"/>
    </row>
    <row r="333" spans="1:5" x14ac:dyDescent="0.25">
      <c r="A333" s="71">
        <f t="shared" si="20"/>
        <v>54556</v>
      </c>
      <c r="B333">
        <f t="shared" ca="1" si="21"/>
        <v>577</v>
      </c>
      <c r="C333" t="s">
        <v>40</v>
      </c>
      <c r="E333" s="71"/>
    </row>
    <row r="334" spans="1:5" x14ac:dyDescent="0.25">
      <c r="A334" s="71">
        <f t="shared" si="20"/>
        <v>54586</v>
      </c>
      <c r="B334">
        <f t="shared" ca="1" si="21"/>
        <v>577</v>
      </c>
      <c r="C334" t="s">
        <v>40</v>
      </c>
      <c r="E334" s="71"/>
    </row>
    <row r="335" spans="1:5" x14ac:dyDescent="0.25">
      <c r="A335" s="71">
        <f t="shared" si="20"/>
        <v>54616</v>
      </c>
      <c r="B335">
        <f t="shared" ca="1" si="21"/>
        <v>577</v>
      </c>
      <c r="C335" t="s">
        <v>40</v>
      </c>
      <c r="E335" s="71"/>
    </row>
    <row r="336" spans="1:5" x14ac:dyDescent="0.25">
      <c r="A336" s="71">
        <f t="shared" si="20"/>
        <v>54646</v>
      </c>
      <c r="B336">
        <f t="shared" ca="1" si="21"/>
        <v>577</v>
      </c>
      <c r="C336" t="s">
        <v>40</v>
      </c>
      <c r="E336" s="71"/>
    </row>
    <row r="337" spans="1:5" x14ac:dyDescent="0.25">
      <c r="A337" s="71">
        <f t="shared" si="20"/>
        <v>54676</v>
      </c>
      <c r="B337">
        <f t="shared" ca="1" si="21"/>
        <v>577</v>
      </c>
      <c r="C337" t="s">
        <v>40</v>
      </c>
      <c r="E337" s="71"/>
    </row>
    <row r="338" spans="1:5" x14ac:dyDescent="0.25">
      <c r="A338" s="71">
        <f t="shared" si="20"/>
        <v>54706</v>
      </c>
      <c r="B338">
        <f t="shared" ca="1" si="21"/>
        <v>577</v>
      </c>
      <c r="C338" t="s">
        <v>40</v>
      </c>
      <c r="E338" s="71"/>
    </row>
    <row r="339" spans="1:5" x14ac:dyDescent="0.25">
      <c r="A339" s="71">
        <f t="shared" si="20"/>
        <v>54736</v>
      </c>
      <c r="B339">
        <f t="shared" ca="1" si="21"/>
        <v>577</v>
      </c>
      <c r="C339" t="s">
        <v>40</v>
      </c>
      <c r="E339" s="71"/>
    </row>
    <row r="340" spans="1:5" x14ac:dyDescent="0.25">
      <c r="A340" s="71">
        <f t="shared" si="20"/>
        <v>54766</v>
      </c>
      <c r="B340">
        <f t="shared" ca="1" si="21"/>
        <v>577</v>
      </c>
      <c r="C340" t="s">
        <v>40</v>
      </c>
      <c r="E340" s="71"/>
    </row>
    <row r="341" spans="1:5" x14ac:dyDescent="0.25">
      <c r="A341" s="71">
        <f t="shared" si="20"/>
        <v>54796</v>
      </c>
      <c r="B341">
        <f t="shared" ca="1" si="21"/>
        <v>577</v>
      </c>
      <c r="C341" t="s">
        <v>40</v>
      </c>
      <c r="E341" s="71"/>
    </row>
    <row r="342" spans="1:5" x14ac:dyDescent="0.25">
      <c r="A342" s="71">
        <f t="shared" si="20"/>
        <v>54826</v>
      </c>
      <c r="B342">
        <f t="shared" ca="1" si="21"/>
        <v>577</v>
      </c>
      <c r="C342" t="s">
        <v>40</v>
      </c>
      <c r="E342" s="71"/>
    </row>
    <row r="343" spans="1:5" x14ac:dyDescent="0.25">
      <c r="A343" s="71">
        <f t="shared" si="20"/>
        <v>54856</v>
      </c>
      <c r="B343">
        <f t="shared" ca="1" si="21"/>
        <v>577</v>
      </c>
      <c r="C343" t="s">
        <v>40</v>
      </c>
      <c r="E343" s="71"/>
    </row>
    <row r="344" spans="1:5" x14ac:dyDescent="0.25">
      <c r="A344" s="71">
        <f t="shared" si="20"/>
        <v>54886</v>
      </c>
      <c r="B344">
        <f t="shared" ca="1" si="21"/>
        <v>577</v>
      </c>
      <c r="C344" t="s">
        <v>40</v>
      </c>
      <c r="E344" s="71"/>
    </row>
    <row r="345" spans="1:5" x14ac:dyDescent="0.25">
      <c r="A345" s="71">
        <f t="shared" si="20"/>
        <v>54916</v>
      </c>
      <c r="B345">
        <f t="shared" ca="1" si="21"/>
        <v>577</v>
      </c>
      <c r="C345" t="s">
        <v>40</v>
      </c>
      <c r="E345" s="71"/>
    </row>
    <row r="346" spans="1:5" x14ac:dyDescent="0.25">
      <c r="A346" s="71">
        <f t="shared" si="20"/>
        <v>54946</v>
      </c>
      <c r="B346">
        <f t="shared" ca="1" si="21"/>
        <v>577</v>
      </c>
      <c r="C346" t="s">
        <v>40</v>
      </c>
      <c r="E346" s="71"/>
    </row>
    <row r="347" spans="1:5" x14ac:dyDescent="0.25">
      <c r="A347" s="71">
        <f t="shared" si="20"/>
        <v>54976</v>
      </c>
      <c r="B347">
        <f t="shared" ca="1" si="21"/>
        <v>577</v>
      </c>
      <c r="C347" t="s">
        <v>40</v>
      </c>
      <c r="E347" s="71"/>
    </row>
    <row r="348" spans="1:5" x14ac:dyDescent="0.25">
      <c r="A348" s="71">
        <f t="shared" si="20"/>
        <v>55006</v>
      </c>
      <c r="B348">
        <f t="shared" ca="1" si="21"/>
        <v>577</v>
      </c>
      <c r="C348" t="s">
        <v>40</v>
      </c>
      <c r="E348" s="71"/>
    </row>
    <row r="349" spans="1:5" x14ac:dyDescent="0.25">
      <c r="A349" s="71">
        <f t="shared" si="20"/>
        <v>55036</v>
      </c>
      <c r="B349">
        <f t="shared" ca="1" si="21"/>
        <v>577</v>
      </c>
      <c r="C349" t="s">
        <v>40</v>
      </c>
      <c r="E349" s="71"/>
    </row>
    <row r="350" spans="1:5" x14ac:dyDescent="0.25">
      <c r="A350" s="71">
        <f t="shared" si="20"/>
        <v>55066</v>
      </c>
      <c r="B350">
        <f t="shared" ca="1" si="21"/>
        <v>577</v>
      </c>
      <c r="C350" t="s">
        <v>40</v>
      </c>
      <c r="E350" s="71"/>
    </row>
    <row r="351" spans="1:5" x14ac:dyDescent="0.25">
      <c r="A351" s="71">
        <f t="shared" si="20"/>
        <v>55096</v>
      </c>
      <c r="B351">
        <f t="shared" ca="1" si="21"/>
        <v>577</v>
      </c>
      <c r="C351" t="s">
        <v>40</v>
      </c>
      <c r="E351" s="71"/>
    </row>
    <row r="352" spans="1:5" x14ac:dyDescent="0.25">
      <c r="A352" s="71">
        <f t="shared" si="20"/>
        <v>55126</v>
      </c>
      <c r="B352">
        <f t="shared" ca="1" si="21"/>
        <v>577</v>
      </c>
      <c r="C352" t="s">
        <v>40</v>
      </c>
      <c r="E352" s="71"/>
    </row>
    <row r="353" spans="1:5" x14ac:dyDescent="0.25">
      <c r="A353" s="71">
        <f t="shared" si="20"/>
        <v>55156</v>
      </c>
      <c r="B353">
        <f t="shared" ca="1" si="21"/>
        <v>577</v>
      </c>
      <c r="C353" t="s">
        <v>40</v>
      </c>
      <c r="E353" s="71"/>
    </row>
    <row r="354" spans="1:5" x14ac:dyDescent="0.25">
      <c r="A354" s="71">
        <f t="shared" si="20"/>
        <v>55186</v>
      </c>
      <c r="B354">
        <f t="shared" ca="1" si="21"/>
        <v>577</v>
      </c>
      <c r="C354" t="s">
        <v>40</v>
      </c>
      <c r="E354" s="71"/>
    </row>
    <row r="355" spans="1:5" x14ac:dyDescent="0.25">
      <c r="A355" s="71">
        <f t="shared" si="20"/>
        <v>55216</v>
      </c>
      <c r="B355">
        <f t="shared" ca="1" si="21"/>
        <v>577</v>
      </c>
      <c r="C355" t="s">
        <v>40</v>
      </c>
      <c r="E355" s="71"/>
    </row>
    <row r="356" spans="1:5" x14ac:dyDescent="0.25">
      <c r="A356" s="71">
        <f t="shared" si="20"/>
        <v>55246</v>
      </c>
      <c r="B356">
        <f t="shared" ca="1" si="21"/>
        <v>577</v>
      </c>
      <c r="C356" t="s">
        <v>40</v>
      </c>
      <c r="E356" s="71"/>
    </row>
    <row r="357" spans="1:5" x14ac:dyDescent="0.25">
      <c r="A357" s="71">
        <f t="shared" si="20"/>
        <v>55276</v>
      </c>
      <c r="B357">
        <f t="shared" ca="1" si="21"/>
        <v>577</v>
      </c>
      <c r="C357" t="s">
        <v>40</v>
      </c>
      <c r="E357" s="71"/>
    </row>
    <row r="358" spans="1:5" x14ac:dyDescent="0.25">
      <c r="A358" s="71">
        <f t="shared" si="20"/>
        <v>55306</v>
      </c>
      <c r="B358">
        <f t="shared" ca="1" si="21"/>
        <v>577</v>
      </c>
      <c r="C358" t="s">
        <v>40</v>
      </c>
      <c r="E358" s="71"/>
    </row>
    <row r="359" spans="1:5" x14ac:dyDescent="0.25">
      <c r="A359" s="71">
        <f t="shared" si="20"/>
        <v>55336</v>
      </c>
      <c r="B359">
        <f t="shared" ca="1" si="21"/>
        <v>577</v>
      </c>
      <c r="C359" t="s">
        <v>40</v>
      </c>
      <c r="E359" s="71"/>
    </row>
    <row r="360" spans="1:5" x14ac:dyDescent="0.25">
      <c r="A360" s="71">
        <f t="shared" si="20"/>
        <v>55366</v>
      </c>
      <c r="B360">
        <f t="shared" ca="1" si="21"/>
        <v>577</v>
      </c>
      <c r="C360" t="s">
        <v>40</v>
      </c>
      <c r="E360" s="71"/>
    </row>
    <row r="361" spans="1:5" x14ac:dyDescent="0.25">
      <c r="A361" s="71">
        <f t="shared" si="20"/>
        <v>55396</v>
      </c>
      <c r="B361">
        <f t="shared" ca="1" si="21"/>
        <v>577</v>
      </c>
      <c r="C361" t="s">
        <v>40</v>
      </c>
      <c r="E361" s="71"/>
    </row>
    <row r="362" spans="1:5" x14ac:dyDescent="0.25">
      <c r="A362" s="71">
        <f t="shared" si="20"/>
        <v>55426</v>
      </c>
      <c r="B362">
        <f t="shared" ca="1" si="21"/>
        <v>577</v>
      </c>
      <c r="C362" t="s">
        <v>40</v>
      </c>
      <c r="E362" s="71"/>
    </row>
    <row r="363" spans="1:5" x14ac:dyDescent="0.25">
      <c r="A363" s="71">
        <f t="shared" si="20"/>
        <v>55456</v>
      </c>
      <c r="B363">
        <f t="shared" ca="1" si="21"/>
        <v>577</v>
      </c>
      <c r="C363" t="s">
        <v>40</v>
      </c>
      <c r="E363" s="71"/>
    </row>
    <row r="364" spans="1:5" x14ac:dyDescent="0.25">
      <c r="A364" s="71">
        <f t="shared" si="20"/>
        <v>55486</v>
      </c>
      <c r="B364">
        <f t="shared" ca="1" si="21"/>
        <v>577</v>
      </c>
      <c r="C364" t="s">
        <v>40</v>
      </c>
      <c r="E364" s="71"/>
    </row>
    <row r="365" spans="1:5" x14ac:dyDescent="0.25">
      <c r="A365" s="71">
        <f t="shared" si="20"/>
        <v>55516</v>
      </c>
      <c r="B365">
        <f t="shared" ca="1" si="21"/>
        <v>577</v>
      </c>
      <c r="C365" t="s">
        <v>40</v>
      </c>
      <c r="E365" s="71"/>
    </row>
    <row r="366" spans="1:5" x14ac:dyDescent="0.25">
      <c r="A366" s="71">
        <f t="shared" si="20"/>
        <v>55546</v>
      </c>
      <c r="B366">
        <f t="shared" ca="1" si="21"/>
        <v>577</v>
      </c>
      <c r="C366" t="s">
        <v>40</v>
      </c>
      <c r="E366" s="71"/>
    </row>
    <row r="367" spans="1:5" x14ac:dyDescent="0.25">
      <c r="A367" s="71">
        <f t="shared" si="20"/>
        <v>55576</v>
      </c>
      <c r="B367">
        <f t="shared" ca="1" si="21"/>
        <v>577</v>
      </c>
      <c r="C367" t="s">
        <v>40</v>
      </c>
      <c r="E367" s="71"/>
    </row>
    <row r="368" spans="1:5" x14ac:dyDescent="0.25">
      <c r="A368" s="71">
        <f t="shared" si="20"/>
        <v>55606</v>
      </c>
      <c r="B368">
        <f t="shared" ca="1" si="21"/>
        <v>577</v>
      </c>
      <c r="C368" t="s">
        <v>40</v>
      </c>
      <c r="E368" s="71"/>
    </row>
    <row r="369" spans="1:5" x14ac:dyDescent="0.25">
      <c r="A369" s="71">
        <f t="shared" si="20"/>
        <v>55636</v>
      </c>
      <c r="B369">
        <f t="shared" ca="1" si="21"/>
        <v>577</v>
      </c>
      <c r="C369" t="s">
        <v>40</v>
      </c>
      <c r="E369" s="71"/>
    </row>
    <row r="370" spans="1:5" x14ac:dyDescent="0.25">
      <c r="A370" s="71">
        <f t="shared" si="20"/>
        <v>55666</v>
      </c>
      <c r="B370">
        <f t="shared" ca="1" si="21"/>
        <v>577</v>
      </c>
      <c r="C370" t="s">
        <v>40</v>
      </c>
      <c r="E370" s="71"/>
    </row>
    <row r="371" spans="1:5" x14ac:dyDescent="0.25">
      <c r="A371" s="71">
        <f t="shared" si="20"/>
        <v>55696</v>
      </c>
      <c r="B371">
        <f t="shared" ca="1" si="21"/>
        <v>577</v>
      </c>
      <c r="C371" t="s">
        <v>40</v>
      </c>
      <c r="E371" s="71"/>
    </row>
    <row r="372" spans="1:5" x14ac:dyDescent="0.25">
      <c r="A372" s="71">
        <f t="shared" si="20"/>
        <v>55726</v>
      </c>
      <c r="B372">
        <f t="shared" ca="1" si="21"/>
        <v>577</v>
      </c>
      <c r="C372" t="s">
        <v>40</v>
      </c>
      <c r="E372" s="71"/>
    </row>
    <row r="373" spans="1:5" x14ac:dyDescent="0.25">
      <c r="A373" s="71">
        <f t="shared" si="20"/>
        <v>55756</v>
      </c>
      <c r="B373">
        <f t="shared" ca="1" si="21"/>
        <v>577</v>
      </c>
      <c r="C373" t="s">
        <v>40</v>
      </c>
      <c r="E373" s="71"/>
    </row>
    <row r="374" spans="1:5" x14ac:dyDescent="0.25">
      <c r="A374" s="71">
        <f t="shared" si="20"/>
        <v>55786</v>
      </c>
      <c r="B374">
        <f t="shared" ca="1" si="21"/>
        <v>577</v>
      </c>
      <c r="C374" t="s">
        <v>40</v>
      </c>
      <c r="E374" s="71"/>
    </row>
    <row r="375" spans="1:5" x14ac:dyDescent="0.25">
      <c r="A375" s="71">
        <f t="shared" si="20"/>
        <v>55816</v>
      </c>
      <c r="B375">
        <f t="shared" ca="1" si="21"/>
        <v>577</v>
      </c>
      <c r="C375" t="s">
        <v>40</v>
      </c>
      <c r="E375" s="71"/>
    </row>
    <row r="376" spans="1:5" x14ac:dyDescent="0.25">
      <c r="A376" s="71">
        <f t="shared" si="20"/>
        <v>55846</v>
      </c>
      <c r="B376">
        <f t="shared" ca="1" si="21"/>
        <v>577</v>
      </c>
      <c r="C376" t="s">
        <v>40</v>
      </c>
      <c r="E376" s="71"/>
    </row>
    <row r="377" spans="1:5" x14ac:dyDescent="0.25">
      <c r="A377" s="71">
        <f t="shared" si="20"/>
        <v>55876</v>
      </c>
      <c r="B377">
        <f t="shared" ca="1" si="21"/>
        <v>577</v>
      </c>
      <c r="C377" t="s">
        <v>40</v>
      </c>
      <c r="E377" s="71"/>
    </row>
    <row r="378" spans="1:5" x14ac:dyDescent="0.25">
      <c r="A378" s="71">
        <f t="shared" si="20"/>
        <v>55906</v>
      </c>
      <c r="B378">
        <f t="shared" ca="1" si="21"/>
        <v>577</v>
      </c>
      <c r="C378" t="s">
        <v>40</v>
      </c>
      <c r="E378" s="71"/>
    </row>
    <row r="379" spans="1:5" x14ac:dyDescent="0.25">
      <c r="A379" s="71">
        <f t="shared" si="20"/>
        <v>55936</v>
      </c>
      <c r="B379">
        <f t="shared" ca="1" si="21"/>
        <v>577</v>
      </c>
      <c r="C379" t="s">
        <v>40</v>
      </c>
      <c r="E379" s="71"/>
    </row>
    <row r="380" spans="1:5" x14ac:dyDescent="0.25">
      <c r="A380" s="71">
        <f t="shared" si="20"/>
        <v>55966</v>
      </c>
      <c r="B380">
        <f t="shared" ca="1" si="21"/>
        <v>577</v>
      </c>
      <c r="C380" t="s">
        <v>40</v>
      </c>
      <c r="E380" s="71"/>
    </row>
    <row r="381" spans="1:5" x14ac:dyDescent="0.25">
      <c r="A381" s="71">
        <f t="shared" si="20"/>
        <v>55996</v>
      </c>
      <c r="B381">
        <f t="shared" ca="1" si="21"/>
        <v>577</v>
      </c>
      <c r="C381" t="s">
        <v>40</v>
      </c>
      <c r="E381" s="71"/>
    </row>
    <row r="382" spans="1:5" x14ac:dyDescent="0.25">
      <c r="A382" s="71">
        <f t="shared" si="20"/>
        <v>56026</v>
      </c>
      <c r="B382">
        <f t="shared" ca="1" si="21"/>
        <v>577</v>
      </c>
      <c r="C382" t="s">
        <v>40</v>
      </c>
      <c r="E382" s="71"/>
    </row>
    <row r="383" spans="1:5" x14ac:dyDescent="0.25">
      <c r="A383" s="71">
        <f t="shared" si="20"/>
        <v>56056</v>
      </c>
      <c r="B383">
        <f t="shared" ca="1" si="21"/>
        <v>577</v>
      </c>
      <c r="C383" t="s">
        <v>40</v>
      </c>
      <c r="E383" s="71"/>
    </row>
    <row r="384" spans="1:5" x14ac:dyDescent="0.25">
      <c r="A384" s="71">
        <f t="shared" si="20"/>
        <v>56086</v>
      </c>
      <c r="B384">
        <f t="shared" ca="1" si="21"/>
        <v>577</v>
      </c>
      <c r="C384" t="s">
        <v>40</v>
      </c>
      <c r="E384" s="71"/>
    </row>
    <row r="385" spans="1:5" x14ac:dyDescent="0.25">
      <c r="A385" s="71">
        <f t="shared" si="20"/>
        <v>56116</v>
      </c>
      <c r="B385">
        <f t="shared" ca="1" si="21"/>
        <v>577</v>
      </c>
      <c r="C385" t="s">
        <v>40</v>
      </c>
      <c r="E385" s="71"/>
    </row>
    <row r="386" spans="1:5" x14ac:dyDescent="0.25">
      <c r="A386" s="71">
        <f t="shared" si="20"/>
        <v>56146</v>
      </c>
      <c r="B386">
        <f t="shared" ca="1" si="21"/>
        <v>577</v>
      </c>
      <c r="C386" t="s">
        <v>40</v>
      </c>
      <c r="E386" s="71"/>
    </row>
    <row r="387" spans="1:5" x14ac:dyDescent="0.25">
      <c r="A387" s="71">
        <f t="shared" si="20"/>
        <v>56176</v>
      </c>
      <c r="B387">
        <f t="shared" ca="1" si="21"/>
        <v>577</v>
      </c>
      <c r="C387" t="s">
        <v>40</v>
      </c>
      <c r="E387" s="71"/>
    </row>
    <row r="388" spans="1:5" x14ac:dyDescent="0.25">
      <c r="A388" s="71">
        <f t="shared" si="20"/>
        <v>56206</v>
      </c>
      <c r="B388">
        <f t="shared" ca="1" si="21"/>
        <v>577</v>
      </c>
      <c r="C388" t="s">
        <v>40</v>
      </c>
      <c r="E388" s="71"/>
    </row>
    <row r="389" spans="1:5" x14ac:dyDescent="0.25">
      <c r="A389" s="71">
        <f t="shared" si="20"/>
        <v>56236</v>
      </c>
      <c r="B389">
        <f t="shared" ca="1" si="21"/>
        <v>577</v>
      </c>
      <c r="C389" t="s">
        <v>40</v>
      </c>
      <c r="E389" s="71"/>
    </row>
    <row r="390" spans="1:5" x14ac:dyDescent="0.25">
      <c r="A390" s="71">
        <f t="shared" si="20"/>
        <v>56266</v>
      </c>
      <c r="B390">
        <f t="shared" ca="1" si="21"/>
        <v>577</v>
      </c>
      <c r="C390" t="s">
        <v>40</v>
      </c>
      <c r="E390" s="71"/>
    </row>
    <row r="391" spans="1:5" x14ac:dyDescent="0.25">
      <c r="A391" s="71">
        <f t="shared" si="20"/>
        <v>56296</v>
      </c>
      <c r="B391">
        <f t="shared" ca="1" si="21"/>
        <v>577</v>
      </c>
      <c r="C391" t="s">
        <v>40</v>
      </c>
      <c r="E391" s="71"/>
    </row>
    <row r="392" spans="1:5" x14ac:dyDescent="0.25">
      <c r="A392" s="71">
        <f t="shared" si="20"/>
        <v>56326</v>
      </c>
      <c r="B392">
        <f t="shared" ca="1" si="21"/>
        <v>577</v>
      </c>
      <c r="C392" t="s">
        <v>40</v>
      </c>
      <c r="E392" s="71"/>
    </row>
    <row r="393" spans="1:5" x14ac:dyDescent="0.25">
      <c r="A393" s="71">
        <f t="shared" si="20"/>
        <v>56356</v>
      </c>
      <c r="B393">
        <f t="shared" ca="1" si="21"/>
        <v>577</v>
      </c>
      <c r="C393" t="s">
        <v>40</v>
      </c>
      <c r="E393" s="71"/>
    </row>
    <row r="394" spans="1:5" x14ac:dyDescent="0.25">
      <c r="A394" s="71">
        <f t="shared" si="20"/>
        <v>56386</v>
      </c>
      <c r="B394">
        <f t="shared" ca="1" si="21"/>
        <v>577</v>
      </c>
      <c r="C394" t="s">
        <v>40</v>
      </c>
      <c r="E394" s="71"/>
    </row>
    <row r="395" spans="1:5" x14ac:dyDescent="0.25">
      <c r="A395" s="71">
        <f t="shared" si="20"/>
        <v>56416</v>
      </c>
      <c r="B395">
        <f t="shared" ca="1" si="21"/>
        <v>577</v>
      </c>
      <c r="C395" t="s">
        <v>40</v>
      </c>
      <c r="E395" s="71"/>
    </row>
    <row r="396" spans="1:5" x14ac:dyDescent="0.25">
      <c r="A396" s="71">
        <f t="shared" ref="A396:A459" si="22">A395+30</f>
        <v>56446</v>
      </c>
      <c r="B396">
        <f t="shared" ref="B396:B459" ca="1" si="23">B395</f>
        <v>577</v>
      </c>
      <c r="C396" t="s">
        <v>40</v>
      </c>
      <c r="E396" s="71"/>
    </row>
    <row r="397" spans="1:5" x14ac:dyDescent="0.25">
      <c r="A397" s="71">
        <f t="shared" si="22"/>
        <v>56476</v>
      </c>
      <c r="B397">
        <f t="shared" ca="1" si="23"/>
        <v>577</v>
      </c>
      <c r="C397" t="s">
        <v>40</v>
      </c>
      <c r="E397" s="71"/>
    </row>
    <row r="398" spans="1:5" x14ac:dyDescent="0.25">
      <c r="A398" s="71">
        <f t="shared" si="22"/>
        <v>56506</v>
      </c>
      <c r="B398">
        <f t="shared" ca="1" si="23"/>
        <v>577</v>
      </c>
      <c r="C398" t="s">
        <v>40</v>
      </c>
      <c r="E398" s="71"/>
    </row>
    <row r="399" spans="1:5" x14ac:dyDescent="0.25">
      <c r="A399" s="71">
        <f t="shared" si="22"/>
        <v>56536</v>
      </c>
      <c r="B399">
        <f t="shared" ca="1" si="23"/>
        <v>577</v>
      </c>
      <c r="C399" t="s">
        <v>40</v>
      </c>
      <c r="E399" s="71"/>
    </row>
    <row r="400" spans="1:5" x14ac:dyDescent="0.25">
      <c r="A400" s="71">
        <f t="shared" si="22"/>
        <v>56566</v>
      </c>
      <c r="B400">
        <f t="shared" ca="1" si="23"/>
        <v>577</v>
      </c>
      <c r="C400" t="s">
        <v>40</v>
      </c>
      <c r="E400" s="71"/>
    </row>
    <row r="401" spans="1:5" x14ac:dyDescent="0.25">
      <c r="A401" s="71">
        <f t="shared" si="22"/>
        <v>56596</v>
      </c>
      <c r="B401">
        <f t="shared" ca="1" si="23"/>
        <v>577</v>
      </c>
      <c r="C401" t="s">
        <v>40</v>
      </c>
      <c r="E401" s="71"/>
    </row>
    <row r="402" spans="1:5" x14ac:dyDescent="0.25">
      <c r="A402" s="71">
        <f t="shared" si="22"/>
        <v>56626</v>
      </c>
      <c r="B402">
        <f t="shared" ca="1" si="23"/>
        <v>577</v>
      </c>
      <c r="C402" t="s">
        <v>40</v>
      </c>
      <c r="E402" s="71"/>
    </row>
    <row r="403" spans="1:5" x14ac:dyDescent="0.25">
      <c r="A403" s="71">
        <f t="shared" si="22"/>
        <v>56656</v>
      </c>
      <c r="B403">
        <f t="shared" ca="1" si="23"/>
        <v>577</v>
      </c>
      <c r="C403" t="s">
        <v>40</v>
      </c>
      <c r="E403" s="71"/>
    </row>
    <row r="404" spans="1:5" x14ac:dyDescent="0.25">
      <c r="A404" s="71">
        <f t="shared" si="22"/>
        <v>56686</v>
      </c>
      <c r="B404">
        <f t="shared" ca="1" si="23"/>
        <v>577</v>
      </c>
      <c r="C404" t="s">
        <v>40</v>
      </c>
      <c r="E404" s="71"/>
    </row>
    <row r="405" spans="1:5" x14ac:dyDescent="0.25">
      <c r="A405" s="71">
        <f t="shared" si="22"/>
        <v>56716</v>
      </c>
      <c r="B405">
        <f t="shared" ca="1" si="23"/>
        <v>577</v>
      </c>
      <c r="C405" t="s">
        <v>40</v>
      </c>
      <c r="E405" s="71"/>
    </row>
    <row r="406" spans="1:5" x14ac:dyDescent="0.25">
      <c r="A406" s="71">
        <f t="shared" si="22"/>
        <v>56746</v>
      </c>
      <c r="B406">
        <f t="shared" ca="1" si="23"/>
        <v>577</v>
      </c>
      <c r="C406" t="s">
        <v>40</v>
      </c>
      <c r="E406" s="71"/>
    </row>
    <row r="407" spans="1:5" x14ac:dyDescent="0.25">
      <c r="A407" s="71">
        <f t="shared" si="22"/>
        <v>56776</v>
      </c>
      <c r="B407">
        <f t="shared" ca="1" si="23"/>
        <v>577</v>
      </c>
      <c r="C407" t="s">
        <v>40</v>
      </c>
      <c r="E407" s="71"/>
    </row>
    <row r="408" spans="1:5" x14ac:dyDescent="0.25">
      <c r="A408" s="71">
        <f t="shared" si="22"/>
        <v>56806</v>
      </c>
      <c r="B408">
        <f t="shared" ca="1" si="23"/>
        <v>577</v>
      </c>
      <c r="C408" t="s">
        <v>40</v>
      </c>
      <c r="E408" s="71"/>
    </row>
    <row r="409" spans="1:5" x14ac:dyDescent="0.25">
      <c r="A409" s="71">
        <f t="shared" si="22"/>
        <v>56836</v>
      </c>
      <c r="B409">
        <f t="shared" ca="1" si="23"/>
        <v>577</v>
      </c>
      <c r="C409" t="s">
        <v>40</v>
      </c>
      <c r="E409" s="71"/>
    </row>
    <row r="410" spans="1:5" x14ac:dyDescent="0.25">
      <c r="A410" s="71">
        <f t="shared" si="22"/>
        <v>56866</v>
      </c>
      <c r="B410">
        <f t="shared" ca="1" si="23"/>
        <v>577</v>
      </c>
      <c r="C410" t="s">
        <v>40</v>
      </c>
      <c r="E410" s="71"/>
    </row>
    <row r="411" spans="1:5" x14ac:dyDescent="0.25">
      <c r="A411" s="71">
        <f t="shared" si="22"/>
        <v>56896</v>
      </c>
      <c r="B411">
        <f t="shared" ca="1" si="23"/>
        <v>577</v>
      </c>
      <c r="C411" t="s">
        <v>40</v>
      </c>
      <c r="E411" s="71"/>
    </row>
    <row r="412" spans="1:5" x14ac:dyDescent="0.25">
      <c r="A412" s="71">
        <f t="shared" si="22"/>
        <v>56926</v>
      </c>
      <c r="B412">
        <f t="shared" ca="1" si="23"/>
        <v>577</v>
      </c>
      <c r="C412" t="s">
        <v>40</v>
      </c>
      <c r="E412" s="71"/>
    </row>
    <row r="413" spans="1:5" x14ac:dyDescent="0.25">
      <c r="A413" s="71">
        <f t="shared" si="22"/>
        <v>56956</v>
      </c>
      <c r="B413">
        <f t="shared" ca="1" si="23"/>
        <v>577</v>
      </c>
      <c r="C413" t="s">
        <v>40</v>
      </c>
      <c r="E413" s="71"/>
    </row>
    <row r="414" spans="1:5" x14ac:dyDescent="0.25">
      <c r="A414" s="71">
        <f t="shared" si="22"/>
        <v>56986</v>
      </c>
      <c r="B414">
        <f t="shared" ca="1" si="23"/>
        <v>577</v>
      </c>
      <c r="C414" t="s">
        <v>40</v>
      </c>
      <c r="E414" s="71"/>
    </row>
    <row r="415" spans="1:5" x14ac:dyDescent="0.25">
      <c r="A415" s="71">
        <f t="shared" si="22"/>
        <v>57016</v>
      </c>
      <c r="B415">
        <f t="shared" ca="1" si="23"/>
        <v>577</v>
      </c>
      <c r="C415" t="s">
        <v>40</v>
      </c>
      <c r="E415" s="71"/>
    </row>
    <row r="416" spans="1:5" x14ac:dyDescent="0.25">
      <c r="A416" s="71">
        <f t="shared" si="22"/>
        <v>57046</v>
      </c>
      <c r="B416">
        <f t="shared" ca="1" si="23"/>
        <v>577</v>
      </c>
      <c r="C416" t="s">
        <v>40</v>
      </c>
      <c r="E416" s="71"/>
    </row>
    <row r="417" spans="1:5" x14ac:dyDescent="0.25">
      <c r="A417" s="71">
        <f t="shared" si="22"/>
        <v>57076</v>
      </c>
      <c r="B417">
        <f t="shared" ca="1" si="23"/>
        <v>577</v>
      </c>
      <c r="C417" t="s">
        <v>40</v>
      </c>
      <c r="E417" s="71"/>
    </row>
    <row r="418" spans="1:5" x14ac:dyDescent="0.25">
      <c r="A418" s="71">
        <f t="shared" si="22"/>
        <v>57106</v>
      </c>
      <c r="B418">
        <f t="shared" ca="1" si="23"/>
        <v>577</v>
      </c>
      <c r="C418" t="s">
        <v>40</v>
      </c>
      <c r="E418" s="71"/>
    </row>
    <row r="419" spans="1:5" x14ac:dyDescent="0.25">
      <c r="A419" s="71">
        <f t="shared" si="22"/>
        <v>57136</v>
      </c>
      <c r="B419">
        <f t="shared" ca="1" si="23"/>
        <v>577</v>
      </c>
      <c r="C419" t="s">
        <v>40</v>
      </c>
      <c r="E419" s="71"/>
    </row>
    <row r="420" spans="1:5" x14ac:dyDescent="0.25">
      <c r="A420" s="71">
        <f t="shared" si="22"/>
        <v>57166</v>
      </c>
      <c r="B420">
        <f t="shared" ca="1" si="23"/>
        <v>577</v>
      </c>
      <c r="C420" t="s">
        <v>40</v>
      </c>
      <c r="E420" s="71"/>
    </row>
    <row r="421" spans="1:5" x14ac:dyDescent="0.25">
      <c r="A421" s="71">
        <f t="shared" si="22"/>
        <v>57196</v>
      </c>
      <c r="B421">
        <f t="shared" ca="1" si="23"/>
        <v>577</v>
      </c>
      <c r="C421" t="s">
        <v>40</v>
      </c>
      <c r="E421" s="71"/>
    </row>
    <row r="422" spans="1:5" x14ac:dyDescent="0.25">
      <c r="A422" s="71">
        <f t="shared" si="22"/>
        <v>57226</v>
      </c>
      <c r="B422">
        <f t="shared" ca="1" si="23"/>
        <v>577</v>
      </c>
      <c r="C422" t="s">
        <v>40</v>
      </c>
      <c r="E422" s="71"/>
    </row>
    <row r="423" spans="1:5" x14ac:dyDescent="0.25">
      <c r="A423" s="71">
        <f t="shared" si="22"/>
        <v>57256</v>
      </c>
      <c r="B423">
        <f t="shared" ca="1" si="23"/>
        <v>577</v>
      </c>
      <c r="C423" t="s">
        <v>40</v>
      </c>
      <c r="E423" s="71"/>
    </row>
    <row r="424" spans="1:5" x14ac:dyDescent="0.25">
      <c r="A424" s="71">
        <f t="shared" si="22"/>
        <v>57286</v>
      </c>
      <c r="B424">
        <f t="shared" ca="1" si="23"/>
        <v>577</v>
      </c>
      <c r="C424" t="s">
        <v>40</v>
      </c>
      <c r="E424" s="71"/>
    </row>
    <row r="425" spans="1:5" x14ac:dyDescent="0.25">
      <c r="A425" s="71">
        <f t="shared" si="22"/>
        <v>57316</v>
      </c>
      <c r="B425">
        <f t="shared" ca="1" si="23"/>
        <v>577</v>
      </c>
      <c r="C425" t="s">
        <v>40</v>
      </c>
      <c r="E425" s="71"/>
    </row>
    <row r="426" spans="1:5" x14ac:dyDescent="0.25">
      <c r="A426" s="71">
        <f t="shared" si="22"/>
        <v>57346</v>
      </c>
      <c r="B426">
        <f t="shared" ca="1" si="23"/>
        <v>577</v>
      </c>
      <c r="C426" t="s">
        <v>40</v>
      </c>
      <c r="E426" s="71"/>
    </row>
    <row r="427" spans="1:5" x14ac:dyDescent="0.25">
      <c r="A427" s="71">
        <f t="shared" si="22"/>
        <v>57376</v>
      </c>
      <c r="B427">
        <f t="shared" ca="1" si="23"/>
        <v>577</v>
      </c>
      <c r="C427" t="s">
        <v>40</v>
      </c>
      <c r="E427" s="71"/>
    </row>
    <row r="428" spans="1:5" x14ac:dyDescent="0.25">
      <c r="A428" s="71">
        <f t="shared" si="22"/>
        <v>57406</v>
      </c>
      <c r="B428">
        <f t="shared" ca="1" si="23"/>
        <v>577</v>
      </c>
      <c r="C428" t="s">
        <v>40</v>
      </c>
      <c r="E428" s="71"/>
    </row>
    <row r="429" spans="1:5" x14ac:dyDescent="0.25">
      <c r="A429" s="71">
        <f t="shared" si="22"/>
        <v>57436</v>
      </c>
      <c r="B429">
        <f t="shared" ca="1" si="23"/>
        <v>577</v>
      </c>
      <c r="C429" t="s">
        <v>40</v>
      </c>
      <c r="E429" s="71"/>
    </row>
    <row r="430" spans="1:5" x14ac:dyDescent="0.25">
      <c r="A430" s="71">
        <f t="shared" si="22"/>
        <v>57466</v>
      </c>
      <c r="B430">
        <f t="shared" ca="1" si="23"/>
        <v>577</v>
      </c>
      <c r="C430" t="s">
        <v>40</v>
      </c>
      <c r="E430" s="71"/>
    </row>
    <row r="431" spans="1:5" x14ac:dyDescent="0.25">
      <c r="A431" s="71">
        <f t="shared" si="22"/>
        <v>57496</v>
      </c>
      <c r="B431">
        <f t="shared" ca="1" si="23"/>
        <v>577</v>
      </c>
      <c r="C431" t="s">
        <v>40</v>
      </c>
    </row>
    <row r="432" spans="1:5" x14ac:dyDescent="0.25">
      <c r="A432" s="71">
        <f t="shared" si="22"/>
        <v>57526</v>
      </c>
      <c r="B432">
        <f t="shared" ca="1" si="23"/>
        <v>577</v>
      </c>
      <c r="C432" t="s">
        <v>40</v>
      </c>
    </row>
    <row r="433" spans="1:3" x14ac:dyDescent="0.25">
      <c r="A433" s="71">
        <f t="shared" si="22"/>
        <v>57556</v>
      </c>
      <c r="B433">
        <f t="shared" ca="1" si="23"/>
        <v>577</v>
      </c>
      <c r="C433" t="s">
        <v>40</v>
      </c>
    </row>
    <row r="434" spans="1:3" x14ac:dyDescent="0.25">
      <c r="A434" s="71">
        <f t="shared" si="22"/>
        <v>57586</v>
      </c>
      <c r="B434">
        <f t="shared" ca="1" si="23"/>
        <v>577</v>
      </c>
      <c r="C434" t="s">
        <v>40</v>
      </c>
    </row>
    <row r="435" spans="1:3" x14ac:dyDescent="0.25">
      <c r="A435" s="71">
        <f t="shared" si="22"/>
        <v>57616</v>
      </c>
      <c r="B435">
        <f t="shared" ca="1" si="23"/>
        <v>577</v>
      </c>
      <c r="C435" t="s">
        <v>40</v>
      </c>
    </row>
    <row r="436" spans="1:3" x14ac:dyDescent="0.25">
      <c r="A436" s="71">
        <f t="shared" si="22"/>
        <v>57646</v>
      </c>
      <c r="B436">
        <f t="shared" ca="1" si="23"/>
        <v>577</v>
      </c>
      <c r="C436" t="s">
        <v>40</v>
      </c>
    </row>
    <row r="437" spans="1:3" x14ac:dyDescent="0.25">
      <c r="A437" s="71">
        <f t="shared" si="22"/>
        <v>57676</v>
      </c>
      <c r="B437">
        <f t="shared" ca="1" si="23"/>
        <v>577</v>
      </c>
      <c r="C437" t="s">
        <v>40</v>
      </c>
    </row>
    <row r="438" spans="1:3" x14ac:dyDescent="0.25">
      <c r="A438" s="71">
        <f t="shared" si="22"/>
        <v>57706</v>
      </c>
      <c r="B438">
        <f t="shared" ca="1" si="23"/>
        <v>577</v>
      </c>
      <c r="C438" t="s">
        <v>40</v>
      </c>
    </row>
    <row r="439" spans="1:3" x14ac:dyDescent="0.25">
      <c r="A439" s="71">
        <f t="shared" si="22"/>
        <v>57736</v>
      </c>
      <c r="B439">
        <f t="shared" ca="1" si="23"/>
        <v>577</v>
      </c>
      <c r="C439" t="s">
        <v>40</v>
      </c>
    </row>
    <row r="440" spans="1:3" x14ac:dyDescent="0.25">
      <c r="A440" s="71">
        <f t="shared" si="22"/>
        <v>57766</v>
      </c>
      <c r="B440">
        <f t="shared" ca="1" si="23"/>
        <v>577</v>
      </c>
      <c r="C440" t="s">
        <v>40</v>
      </c>
    </row>
    <row r="441" spans="1:3" x14ac:dyDescent="0.25">
      <c r="A441" s="71">
        <f t="shared" si="22"/>
        <v>57796</v>
      </c>
      <c r="B441">
        <f t="shared" ca="1" si="23"/>
        <v>577</v>
      </c>
      <c r="C441" t="s">
        <v>40</v>
      </c>
    </row>
    <row r="442" spans="1:3" x14ac:dyDescent="0.25">
      <c r="A442" s="71">
        <f t="shared" si="22"/>
        <v>57826</v>
      </c>
      <c r="B442">
        <f t="shared" ca="1" si="23"/>
        <v>577</v>
      </c>
      <c r="C442" t="s">
        <v>40</v>
      </c>
    </row>
    <row r="443" spans="1:3" x14ac:dyDescent="0.25">
      <c r="A443" s="71">
        <f t="shared" si="22"/>
        <v>57856</v>
      </c>
      <c r="B443">
        <f t="shared" ca="1" si="23"/>
        <v>577</v>
      </c>
      <c r="C443" t="s">
        <v>40</v>
      </c>
    </row>
    <row r="444" spans="1:3" x14ac:dyDescent="0.25">
      <c r="A444" s="71">
        <f t="shared" si="22"/>
        <v>57886</v>
      </c>
      <c r="B444">
        <f t="shared" ca="1" si="23"/>
        <v>577</v>
      </c>
      <c r="C444" t="s">
        <v>40</v>
      </c>
    </row>
    <row r="445" spans="1:3" x14ac:dyDescent="0.25">
      <c r="A445" s="71">
        <f t="shared" si="22"/>
        <v>57916</v>
      </c>
      <c r="B445">
        <f t="shared" ca="1" si="23"/>
        <v>577</v>
      </c>
      <c r="C445" t="s">
        <v>40</v>
      </c>
    </row>
    <row r="446" spans="1:3" x14ac:dyDescent="0.25">
      <c r="A446" s="71">
        <f t="shared" si="22"/>
        <v>57946</v>
      </c>
      <c r="B446">
        <f t="shared" ca="1" si="23"/>
        <v>577</v>
      </c>
      <c r="C446" t="s">
        <v>40</v>
      </c>
    </row>
    <row r="447" spans="1:3" x14ac:dyDescent="0.25">
      <c r="A447" s="71">
        <f t="shared" si="22"/>
        <v>57976</v>
      </c>
      <c r="B447">
        <f t="shared" ca="1" si="23"/>
        <v>577</v>
      </c>
      <c r="C447" t="s">
        <v>40</v>
      </c>
    </row>
    <row r="448" spans="1:3" x14ac:dyDescent="0.25">
      <c r="A448" s="71">
        <f t="shared" si="22"/>
        <v>58006</v>
      </c>
      <c r="B448">
        <f t="shared" ca="1" si="23"/>
        <v>577</v>
      </c>
      <c r="C448" t="s">
        <v>40</v>
      </c>
    </row>
    <row r="449" spans="1:3" x14ac:dyDescent="0.25">
      <c r="A449" s="71">
        <f t="shared" si="22"/>
        <v>58036</v>
      </c>
      <c r="B449">
        <f t="shared" ca="1" si="23"/>
        <v>577</v>
      </c>
      <c r="C449" t="s">
        <v>40</v>
      </c>
    </row>
    <row r="450" spans="1:3" x14ac:dyDescent="0.25">
      <c r="A450" s="71">
        <f t="shared" si="22"/>
        <v>58066</v>
      </c>
      <c r="B450">
        <f t="shared" ca="1" si="23"/>
        <v>577</v>
      </c>
      <c r="C450" t="s">
        <v>40</v>
      </c>
    </row>
    <row r="451" spans="1:3" x14ac:dyDescent="0.25">
      <c r="A451" s="71">
        <f t="shared" si="22"/>
        <v>58096</v>
      </c>
      <c r="B451">
        <f t="shared" ca="1" si="23"/>
        <v>577</v>
      </c>
      <c r="C451" t="s">
        <v>40</v>
      </c>
    </row>
    <row r="452" spans="1:3" x14ac:dyDescent="0.25">
      <c r="A452" s="71">
        <f t="shared" si="22"/>
        <v>58126</v>
      </c>
      <c r="B452">
        <f t="shared" ca="1" si="23"/>
        <v>577</v>
      </c>
      <c r="C452" t="s">
        <v>40</v>
      </c>
    </row>
    <row r="453" spans="1:3" x14ac:dyDescent="0.25">
      <c r="A453" s="71">
        <f t="shared" si="22"/>
        <v>58156</v>
      </c>
      <c r="B453">
        <f t="shared" ca="1" si="23"/>
        <v>577</v>
      </c>
      <c r="C453" t="s">
        <v>40</v>
      </c>
    </row>
    <row r="454" spans="1:3" x14ac:dyDescent="0.25">
      <c r="A454" s="71">
        <f t="shared" si="22"/>
        <v>58186</v>
      </c>
      <c r="B454">
        <f t="shared" ca="1" si="23"/>
        <v>577</v>
      </c>
      <c r="C454" t="s">
        <v>40</v>
      </c>
    </row>
    <row r="455" spans="1:3" x14ac:dyDescent="0.25">
      <c r="A455" s="71">
        <f t="shared" si="22"/>
        <v>58216</v>
      </c>
      <c r="B455">
        <f t="shared" ca="1" si="23"/>
        <v>577</v>
      </c>
      <c r="C455" t="s">
        <v>40</v>
      </c>
    </row>
    <row r="456" spans="1:3" x14ac:dyDescent="0.25">
      <c r="A456" s="71">
        <f t="shared" si="22"/>
        <v>58246</v>
      </c>
      <c r="B456">
        <f t="shared" ca="1" si="23"/>
        <v>577</v>
      </c>
      <c r="C456" t="s">
        <v>40</v>
      </c>
    </row>
    <row r="457" spans="1:3" x14ac:dyDescent="0.25">
      <c r="A457" s="71">
        <f t="shared" si="22"/>
        <v>58276</v>
      </c>
      <c r="B457">
        <f t="shared" ca="1" si="23"/>
        <v>577</v>
      </c>
      <c r="C457" t="s">
        <v>40</v>
      </c>
    </row>
    <row r="458" spans="1:3" x14ac:dyDescent="0.25">
      <c r="A458" s="71">
        <f t="shared" si="22"/>
        <v>58306</v>
      </c>
      <c r="B458">
        <f t="shared" ca="1" si="23"/>
        <v>577</v>
      </c>
      <c r="C458" t="s">
        <v>40</v>
      </c>
    </row>
    <row r="459" spans="1:3" x14ac:dyDescent="0.25">
      <c r="A459" s="71">
        <f t="shared" si="22"/>
        <v>58336</v>
      </c>
      <c r="B459">
        <f t="shared" ca="1" si="23"/>
        <v>577</v>
      </c>
      <c r="C459" t="s">
        <v>40</v>
      </c>
    </row>
    <row r="460" spans="1:3" x14ac:dyDescent="0.25">
      <c r="A460" s="71">
        <f t="shared" ref="A460:A523" si="24">A459+30</f>
        <v>58366</v>
      </c>
      <c r="B460">
        <f t="shared" ref="B460:B523" ca="1" si="25">B459</f>
        <v>577</v>
      </c>
      <c r="C460" t="s">
        <v>40</v>
      </c>
    </row>
    <row r="461" spans="1:3" x14ac:dyDescent="0.25">
      <c r="A461" s="71">
        <f t="shared" si="24"/>
        <v>58396</v>
      </c>
      <c r="B461">
        <f t="shared" ca="1" si="25"/>
        <v>577</v>
      </c>
      <c r="C461" t="s">
        <v>40</v>
      </c>
    </row>
    <row r="462" spans="1:3" x14ac:dyDescent="0.25">
      <c r="A462" s="71">
        <f t="shared" si="24"/>
        <v>58426</v>
      </c>
      <c r="B462">
        <f t="shared" ca="1" si="25"/>
        <v>577</v>
      </c>
      <c r="C462" t="s">
        <v>40</v>
      </c>
    </row>
    <row r="463" spans="1:3" x14ac:dyDescent="0.25">
      <c r="A463" s="71">
        <f t="shared" si="24"/>
        <v>58456</v>
      </c>
      <c r="B463">
        <f t="shared" ca="1" si="25"/>
        <v>577</v>
      </c>
      <c r="C463" t="s">
        <v>40</v>
      </c>
    </row>
    <row r="464" spans="1:3" x14ac:dyDescent="0.25">
      <c r="A464" s="71">
        <f t="shared" si="24"/>
        <v>58486</v>
      </c>
      <c r="B464">
        <f t="shared" ca="1" si="25"/>
        <v>577</v>
      </c>
      <c r="C464" t="s">
        <v>40</v>
      </c>
    </row>
    <row r="465" spans="1:3" x14ac:dyDescent="0.25">
      <c r="A465" s="71">
        <f t="shared" si="24"/>
        <v>58516</v>
      </c>
      <c r="B465">
        <f t="shared" ca="1" si="25"/>
        <v>577</v>
      </c>
      <c r="C465" t="s">
        <v>40</v>
      </c>
    </row>
    <row r="466" spans="1:3" x14ac:dyDescent="0.25">
      <c r="A466" s="71">
        <f t="shared" si="24"/>
        <v>58546</v>
      </c>
      <c r="B466">
        <f t="shared" ca="1" si="25"/>
        <v>577</v>
      </c>
      <c r="C466" t="s">
        <v>40</v>
      </c>
    </row>
    <row r="467" spans="1:3" x14ac:dyDescent="0.25">
      <c r="A467" s="71">
        <f t="shared" si="24"/>
        <v>58576</v>
      </c>
      <c r="B467">
        <f t="shared" ca="1" si="25"/>
        <v>577</v>
      </c>
      <c r="C467" t="s">
        <v>40</v>
      </c>
    </row>
    <row r="468" spans="1:3" x14ac:dyDescent="0.25">
      <c r="A468" s="71">
        <f t="shared" si="24"/>
        <v>58606</v>
      </c>
      <c r="B468">
        <f t="shared" ca="1" si="25"/>
        <v>577</v>
      </c>
      <c r="C468" t="s">
        <v>40</v>
      </c>
    </row>
    <row r="469" spans="1:3" x14ac:dyDescent="0.25">
      <c r="A469" s="71">
        <f t="shared" si="24"/>
        <v>58636</v>
      </c>
      <c r="B469">
        <f t="shared" ca="1" si="25"/>
        <v>577</v>
      </c>
      <c r="C469" t="s">
        <v>40</v>
      </c>
    </row>
    <row r="470" spans="1:3" x14ac:dyDescent="0.25">
      <c r="A470" s="71">
        <f t="shared" si="24"/>
        <v>58666</v>
      </c>
      <c r="B470">
        <f t="shared" ca="1" si="25"/>
        <v>577</v>
      </c>
      <c r="C470" t="s">
        <v>40</v>
      </c>
    </row>
    <row r="471" spans="1:3" x14ac:dyDescent="0.25">
      <c r="A471" s="71">
        <f t="shared" si="24"/>
        <v>58696</v>
      </c>
      <c r="B471">
        <f t="shared" ca="1" si="25"/>
        <v>577</v>
      </c>
      <c r="C471" t="s">
        <v>40</v>
      </c>
    </row>
    <row r="472" spans="1:3" x14ac:dyDescent="0.25">
      <c r="A472" s="71">
        <f t="shared" si="24"/>
        <v>58726</v>
      </c>
      <c r="B472">
        <f t="shared" ca="1" si="25"/>
        <v>577</v>
      </c>
      <c r="C472" t="s">
        <v>40</v>
      </c>
    </row>
    <row r="473" spans="1:3" x14ac:dyDescent="0.25">
      <c r="A473" s="71">
        <f t="shared" si="24"/>
        <v>58756</v>
      </c>
      <c r="B473">
        <f t="shared" ca="1" si="25"/>
        <v>577</v>
      </c>
      <c r="C473" t="s">
        <v>40</v>
      </c>
    </row>
    <row r="474" spans="1:3" x14ac:dyDescent="0.25">
      <c r="A474" s="71">
        <f t="shared" si="24"/>
        <v>58786</v>
      </c>
      <c r="B474">
        <f t="shared" ca="1" si="25"/>
        <v>577</v>
      </c>
      <c r="C474" t="s">
        <v>40</v>
      </c>
    </row>
    <row r="475" spans="1:3" x14ac:dyDescent="0.25">
      <c r="A475" s="71">
        <f t="shared" si="24"/>
        <v>58816</v>
      </c>
      <c r="B475">
        <f t="shared" ca="1" si="25"/>
        <v>577</v>
      </c>
      <c r="C475" t="s">
        <v>40</v>
      </c>
    </row>
    <row r="476" spans="1:3" x14ac:dyDescent="0.25">
      <c r="A476" s="71">
        <f t="shared" si="24"/>
        <v>58846</v>
      </c>
      <c r="B476">
        <f t="shared" ca="1" si="25"/>
        <v>577</v>
      </c>
      <c r="C476" t="s">
        <v>40</v>
      </c>
    </row>
    <row r="477" spans="1:3" x14ac:dyDescent="0.25">
      <c r="A477" s="71">
        <f t="shared" si="24"/>
        <v>58876</v>
      </c>
      <c r="B477">
        <f t="shared" ca="1" si="25"/>
        <v>577</v>
      </c>
      <c r="C477" t="s">
        <v>40</v>
      </c>
    </row>
    <row r="478" spans="1:3" x14ac:dyDescent="0.25">
      <c r="A478" s="71">
        <f t="shared" si="24"/>
        <v>58906</v>
      </c>
      <c r="B478">
        <f t="shared" ca="1" si="25"/>
        <v>577</v>
      </c>
      <c r="C478" t="s">
        <v>40</v>
      </c>
    </row>
    <row r="479" spans="1:3" x14ac:dyDescent="0.25">
      <c r="A479" s="71">
        <f t="shared" si="24"/>
        <v>58936</v>
      </c>
      <c r="B479">
        <f t="shared" ca="1" si="25"/>
        <v>577</v>
      </c>
      <c r="C479" t="s">
        <v>40</v>
      </c>
    </row>
    <row r="480" spans="1:3" x14ac:dyDescent="0.25">
      <c r="A480" s="71">
        <f t="shared" si="24"/>
        <v>58966</v>
      </c>
      <c r="B480">
        <f t="shared" ca="1" si="25"/>
        <v>577</v>
      </c>
      <c r="C480" t="s">
        <v>40</v>
      </c>
    </row>
    <row r="481" spans="1:3" x14ac:dyDescent="0.25">
      <c r="A481" s="71">
        <f t="shared" si="24"/>
        <v>58996</v>
      </c>
      <c r="B481">
        <f t="shared" ca="1" si="25"/>
        <v>577</v>
      </c>
      <c r="C481" t="s">
        <v>40</v>
      </c>
    </row>
    <row r="482" spans="1:3" x14ac:dyDescent="0.25">
      <c r="A482" s="71">
        <f t="shared" si="24"/>
        <v>59026</v>
      </c>
      <c r="B482">
        <f t="shared" ca="1" si="25"/>
        <v>577</v>
      </c>
      <c r="C482" t="s">
        <v>40</v>
      </c>
    </row>
    <row r="483" spans="1:3" x14ac:dyDescent="0.25">
      <c r="A483" s="71">
        <f t="shared" si="24"/>
        <v>59056</v>
      </c>
      <c r="B483">
        <f t="shared" ca="1" si="25"/>
        <v>577</v>
      </c>
      <c r="C483" t="s">
        <v>40</v>
      </c>
    </row>
    <row r="484" spans="1:3" x14ac:dyDescent="0.25">
      <c r="A484" s="71">
        <f t="shared" si="24"/>
        <v>59086</v>
      </c>
      <c r="B484">
        <f t="shared" ca="1" si="25"/>
        <v>577</v>
      </c>
      <c r="C484" t="s">
        <v>40</v>
      </c>
    </row>
    <row r="485" spans="1:3" x14ac:dyDescent="0.25">
      <c r="A485" s="71">
        <f t="shared" si="24"/>
        <v>59116</v>
      </c>
      <c r="B485">
        <f t="shared" ca="1" si="25"/>
        <v>577</v>
      </c>
      <c r="C485" t="s">
        <v>40</v>
      </c>
    </row>
    <row r="486" spans="1:3" x14ac:dyDescent="0.25">
      <c r="A486" s="71">
        <f t="shared" si="24"/>
        <v>59146</v>
      </c>
      <c r="B486">
        <f t="shared" ca="1" si="25"/>
        <v>577</v>
      </c>
      <c r="C486" t="s">
        <v>40</v>
      </c>
    </row>
    <row r="487" spans="1:3" x14ac:dyDescent="0.25">
      <c r="A487" s="71">
        <f t="shared" si="24"/>
        <v>59176</v>
      </c>
      <c r="B487">
        <f t="shared" ca="1" si="25"/>
        <v>577</v>
      </c>
      <c r="C487" t="s">
        <v>40</v>
      </c>
    </row>
    <row r="488" spans="1:3" x14ac:dyDescent="0.25">
      <c r="A488" s="71">
        <f t="shared" si="24"/>
        <v>59206</v>
      </c>
      <c r="B488">
        <f t="shared" ca="1" si="25"/>
        <v>577</v>
      </c>
      <c r="C488" t="s">
        <v>40</v>
      </c>
    </row>
    <row r="489" spans="1:3" x14ac:dyDescent="0.25">
      <c r="A489" s="71">
        <f t="shared" si="24"/>
        <v>59236</v>
      </c>
      <c r="B489">
        <f t="shared" ca="1" si="25"/>
        <v>577</v>
      </c>
      <c r="C489" t="s">
        <v>40</v>
      </c>
    </row>
    <row r="490" spans="1:3" x14ac:dyDescent="0.25">
      <c r="A490" s="71">
        <f t="shared" si="24"/>
        <v>59266</v>
      </c>
      <c r="B490">
        <f t="shared" ca="1" si="25"/>
        <v>577</v>
      </c>
      <c r="C490" t="s">
        <v>40</v>
      </c>
    </row>
    <row r="491" spans="1:3" x14ac:dyDescent="0.25">
      <c r="A491" s="71">
        <f t="shared" si="24"/>
        <v>59296</v>
      </c>
      <c r="B491">
        <f t="shared" ca="1" si="25"/>
        <v>577</v>
      </c>
      <c r="C491" t="s">
        <v>40</v>
      </c>
    </row>
    <row r="492" spans="1:3" x14ac:dyDescent="0.25">
      <c r="A492" s="71">
        <f t="shared" si="24"/>
        <v>59326</v>
      </c>
      <c r="B492">
        <f t="shared" ca="1" si="25"/>
        <v>577</v>
      </c>
      <c r="C492" t="s">
        <v>40</v>
      </c>
    </row>
    <row r="493" spans="1:3" x14ac:dyDescent="0.25">
      <c r="A493" s="71">
        <f t="shared" si="24"/>
        <v>59356</v>
      </c>
      <c r="B493">
        <f t="shared" ca="1" si="25"/>
        <v>577</v>
      </c>
      <c r="C493" t="s">
        <v>40</v>
      </c>
    </row>
    <row r="494" spans="1:3" x14ac:dyDescent="0.25">
      <c r="A494" s="71">
        <f t="shared" si="24"/>
        <v>59386</v>
      </c>
      <c r="B494">
        <f t="shared" ca="1" si="25"/>
        <v>577</v>
      </c>
      <c r="C494" t="s">
        <v>40</v>
      </c>
    </row>
    <row r="495" spans="1:3" x14ac:dyDescent="0.25">
      <c r="A495" s="71">
        <f t="shared" si="24"/>
        <v>59416</v>
      </c>
      <c r="B495">
        <f t="shared" ca="1" si="25"/>
        <v>577</v>
      </c>
      <c r="C495" t="s">
        <v>40</v>
      </c>
    </row>
    <row r="496" spans="1:3" x14ac:dyDescent="0.25">
      <c r="A496" s="71">
        <f t="shared" si="24"/>
        <v>59446</v>
      </c>
      <c r="B496">
        <f t="shared" ca="1" si="25"/>
        <v>577</v>
      </c>
      <c r="C496" t="s">
        <v>40</v>
      </c>
    </row>
    <row r="497" spans="1:3" x14ac:dyDescent="0.25">
      <c r="A497" s="71">
        <f t="shared" si="24"/>
        <v>59476</v>
      </c>
      <c r="B497">
        <f t="shared" ca="1" si="25"/>
        <v>577</v>
      </c>
      <c r="C497" t="s">
        <v>40</v>
      </c>
    </row>
    <row r="498" spans="1:3" x14ac:dyDescent="0.25">
      <c r="A498" s="71">
        <f t="shared" si="24"/>
        <v>59506</v>
      </c>
      <c r="B498">
        <f t="shared" ca="1" si="25"/>
        <v>577</v>
      </c>
      <c r="C498" t="s">
        <v>40</v>
      </c>
    </row>
    <row r="499" spans="1:3" x14ac:dyDescent="0.25">
      <c r="A499" s="71">
        <f t="shared" si="24"/>
        <v>59536</v>
      </c>
      <c r="B499">
        <f t="shared" ca="1" si="25"/>
        <v>577</v>
      </c>
      <c r="C499" t="s">
        <v>40</v>
      </c>
    </row>
    <row r="500" spans="1:3" x14ac:dyDescent="0.25">
      <c r="A500" s="71">
        <f t="shared" si="24"/>
        <v>59566</v>
      </c>
      <c r="B500">
        <f t="shared" ca="1" si="25"/>
        <v>577</v>
      </c>
      <c r="C500" t="s">
        <v>40</v>
      </c>
    </row>
    <row r="501" spans="1:3" x14ac:dyDescent="0.25">
      <c r="A501" s="71">
        <f t="shared" si="24"/>
        <v>59596</v>
      </c>
      <c r="B501">
        <f t="shared" ca="1" si="25"/>
        <v>577</v>
      </c>
      <c r="C501" t="s">
        <v>40</v>
      </c>
    </row>
    <row r="502" spans="1:3" x14ac:dyDescent="0.25">
      <c r="A502" s="71">
        <f t="shared" si="24"/>
        <v>59626</v>
      </c>
      <c r="B502">
        <f t="shared" ca="1" si="25"/>
        <v>577</v>
      </c>
      <c r="C502" t="s">
        <v>40</v>
      </c>
    </row>
    <row r="503" spans="1:3" x14ac:dyDescent="0.25">
      <c r="A503" s="71">
        <f t="shared" si="24"/>
        <v>59656</v>
      </c>
      <c r="B503">
        <f t="shared" ca="1" si="25"/>
        <v>577</v>
      </c>
      <c r="C503" t="s">
        <v>40</v>
      </c>
    </row>
    <row r="504" spans="1:3" x14ac:dyDescent="0.25">
      <c r="A504" s="71">
        <f t="shared" si="24"/>
        <v>59686</v>
      </c>
      <c r="B504">
        <f t="shared" ca="1" si="25"/>
        <v>577</v>
      </c>
      <c r="C504" t="s">
        <v>40</v>
      </c>
    </row>
    <row r="505" spans="1:3" x14ac:dyDescent="0.25">
      <c r="A505" s="71">
        <f t="shared" si="24"/>
        <v>59716</v>
      </c>
      <c r="B505">
        <f t="shared" ca="1" si="25"/>
        <v>577</v>
      </c>
      <c r="C505" t="s">
        <v>40</v>
      </c>
    </row>
    <row r="506" spans="1:3" x14ac:dyDescent="0.25">
      <c r="A506" s="71">
        <f t="shared" si="24"/>
        <v>59746</v>
      </c>
      <c r="B506">
        <f t="shared" ca="1" si="25"/>
        <v>577</v>
      </c>
      <c r="C506" t="s">
        <v>40</v>
      </c>
    </row>
    <row r="507" spans="1:3" x14ac:dyDescent="0.25">
      <c r="A507" s="71">
        <f t="shared" si="24"/>
        <v>59776</v>
      </c>
      <c r="B507">
        <f t="shared" ca="1" si="25"/>
        <v>577</v>
      </c>
      <c r="C507" t="s">
        <v>40</v>
      </c>
    </row>
    <row r="508" spans="1:3" x14ac:dyDescent="0.25">
      <c r="A508" s="71">
        <f t="shared" si="24"/>
        <v>59806</v>
      </c>
      <c r="B508">
        <f t="shared" ca="1" si="25"/>
        <v>577</v>
      </c>
      <c r="C508" t="s">
        <v>40</v>
      </c>
    </row>
    <row r="509" spans="1:3" x14ac:dyDescent="0.25">
      <c r="A509" s="71">
        <f t="shared" si="24"/>
        <v>59836</v>
      </c>
      <c r="B509">
        <f t="shared" ca="1" si="25"/>
        <v>577</v>
      </c>
      <c r="C509" t="s">
        <v>40</v>
      </c>
    </row>
    <row r="510" spans="1:3" x14ac:dyDescent="0.25">
      <c r="A510" s="71">
        <f t="shared" si="24"/>
        <v>59866</v>
      </c>
      <c r="B510">
        <f t="shared" ca="1" si="25"/>
        <v>577</v>
      </c>
      <c r="C510" t="s">
        <v>40</v>
      </c>
    </row>
    <row r="511" spans="1:3" x14ac:dyDescent="0.25">
      <c r="A511" s="71">
        <f t="shared" si="24"/>
        <v>59896</v>
      </c>
      <c r="B511">
        <f t="shared" ca="1" si="25"/>
        <v>577</v>
      </c>
      <c r="C511" t="s">
        <v>40</v>
      </c>
    </row>
    <row r="512" spans="1:3" x14ac:dyDescent="0.25">
      <c r="A512" s="71">
        <f t="shared" si="24"/>
        <v>59926</v>
      </c>
      <c r="B512">
        <f t="shared" ca="1" si="25"/>
        <v>577</v>
      </c>
      <c r="C512" t="s">
        <v>40</v>
      </c>
    </row>
    <row r="513" spans="1:3" x14ac:dyDescent="0.25">
      <c r="A513" s="71">
        <f t="shared" si="24"/>
        <v>59956</v>
      </c>
      <c r="B513">
        <f t="shared" ca="1" si="25"/>
        <v>577</v>
      </c>
      <c r="C513" t="s">
        <v>40</v>
      </c>
    </row>
    <row r="514" spans="1:3" x14ac:dyDescent="0.25">
      <c r="A514" s="71">
        <f t="shared" si="24"/>
        <v>59986</v>
      </c>
      <c r="B514">
        <f t="shared" ca="1" si="25"/>
        <v>577</v>
      </c>
      <c r="C514" t="s">
        <v>40</v>
      </c>
    </row>
    <row r="515" spans="1:3" x14ac:dyDescent="0.25">
      <c r="A515" s="71">
        <f t="shared" si="24"/>
        <v>60016</v>
      </c>
      <c r="B515">
        <f t="shared" ca="1" si="25"/>
        <v>577</v>
      </c>
      <c r="C515" t="s">
        <v>40</v>
      </c>
    </row>
    <row r="516" spans="1:3" x14ac:dyDescent="0.25">
      <c r="A516" s="71">
        <f t="shared" si="24"/>
        <v>60046</v>
      </c>
      <c r="B516">
        <f t="shared" ca="1" si="25"/>
        <v>577</v>
      </c>
      <c r="C516" t="s">
        <v>40</v>
      </c>
    </row>
    <row r="517" spans="1:3" x14ac:dyDescent="0.25">
      <c r="A517" s="71">
        <f t="shared" si="24"/>
        <v>60076</v>
      </c>
      <c r="B517">
        <f t="shared" ca="1" si="25"/>
        <v>577</v>
      </c>
      <c r="C517" t="s">
        <v>40</v>
      </c>
    </row>
    <row r="518" spans="1:3" x14ac:dyDescent="0.25">
      <c r="A518" s="71">
        <f t="shared" si="24"/>
        <v>60106</v>
      </c>
      <c r="B518">
        <f t="shared" ca="1" si="25"/>
        <v>577</v>
      </c>
      <c r="C518" t="s">
        <v>40</v>
      </c>
    </row>
    <row r="519" spans="1:3" x14ac:dyDescent="0.25">
      <c r="A519" s="71">
        <f t="shared" si="24"/>
        <v>60136</v>
      </c>
      <c r="B519">
        <f t="shared" ca="1" si="25"/>
        <v>577</v>
      </c>
      <c r="C519" t="s">
        <v>40</v>
      </c>
    </row>
    <row r="520" spans="1:3" x14ac:dyDescent="0.25">
      <c r="A520" s="71">
        <f t="shared" si="24"/>
        <v>60166</v>
      </c>
      <c r="B520">
        <f t="shared" ca="1" si="25"/>
        <v>577</v>
      </c>
      <c r="C520" t="s">
        <v>40</v>
      </c>
    </row>
    <row r="521" spans="1:3" x14ac:dyDescent="0.25">
      <c r="A521" s="71">
        <f t="shared" si="24"/>
        <v>60196</v>
      </c>
      <c r="B521">
        <f t="shared" ca="1" si="25"/>
        <v>577</v>
      </c>
      <c r="C521" t="s">
        <v>40</v>
      </c>
    </row>
    <row r="522" spans="1:3" x14ac:dyDescent="0.25">
      <c r="A522" s="71">
        <f t="shared" si="24"/>
        <v>60226</v>
      </c>
      <c r="B522">
        <f t="shared" ca="1" si="25"/>
        <v>577</v>
      </c>
      <c r="C522" t="s">
        <v>40</v>
      </c>
    </row>
    <row r="523" spans="1:3" x14ac:dyDescent="0.25">
      <c r="A523" s="71">
        <f t="shared" si="24"/>
        <v>60256</v>
      </c>
      <c r="B523">
        <f t="shared" ca="1" si="25"/>
        <v>577</v>
      </c>
      <c r="C523" t="s">
        <v>40</v>
      </c>
    </row>
    <row r="524" spans="1:3" x14ac:dyDescent="0.25">
      <c r="A524" s="71">
        <f t="shared" ref="A524:A587" si="26">A523+30</f>
        <v>60286</v>
      </c>
      <c r="B524">
        <f t="shared" ref="B524:B587" ca="1" si="27">B523</f>
        <v>577</v>
      </c>
      <c r="C524" t="s">
        <v>40</v>
      </c>
    </row>
    <row r="525" spans="1:3" x14ac:dyDescent="0.25">
      <c r="A525" s="71">
        <f t="shared" si="26"/>
        <v>60316</v>
      </c>
      <c r="B525">
        <f t="shared" ca="1" si="27"/>
        <v>577</v>
      </c>
      <c r="C525" t="s">
        <v>40</v>
      </c>
    </row>
    <row r="526" spans="1:3" x14ac:dyDescent="0.25">
      <c r="A526" s="71">
        <f t="shared" si="26"/>
        <v>60346</v>
      </c>
      <c r="B526">
        <f t="shared" ca="1" si="27"/>
        <v>577</v>
      </c>
      <c r="C526" t="s">
        <v>40</v>
      </c>
    </row>
    <row r="527" spans="1:3" x14ac:dyDescent="0.25">
      <c r="A527" s="71">
        <f t="shared" si="26"/>
        <v>60376</v>
      </c>
      <c r="B527">
        <f t="shared" ca="1" si="27"/>
        <v>577</v>
      </c>
      <c r="C527" t="s">
        <v>40</v>
      </c>
    </row>
    <row r="528" spans="1:3" x14ac:dyDescent="0.25">
      <c r="A528" s="71">
        <f t="shared" si="26"/>
        <v>60406</v>
      </c>
      <c r="B528">
        <f t="shared" ca="1" si="27"/>
        <v>577</v>
      </c>
      <c r="C528" t="s">
        <v>40</v>
      </c>
    </row>
    <row r="529" spans="1:3" x14ac:dyDescent="0.25">
      <c r="A529" s="71">
        <f t="shared" si="26"/>
        <v>60436</v>
      </c>
      <c r="B529">
        <f t="shared" ca="1" si="27"/>
        <v>577</v>
      </c>
      <c r="C529" t="s">
        <v>40</v>
      </c>
    </row>
    <row r="530" spans="1:3" x14ac:dyDescent="0.25">
      <c r="A530" s="71">
        <f t="shared" si="26"/>
        <v>60466</v>
      </c>
      <c r="B530">
        <f t="shared" ca="1" si="27"/>
        <v>577</v>
      </c>
      <c r="C530" t="s">
        <v>40</v>
      </c>
    </row>
    <row r="531" spans="1:3" x14ac:dyDescent="0.25">
      <c r="A531" s="71">
        <f t="shared" si="26"/>
        <v>60496</v>
      </c>
      <c r="B531">
        <f t="shared" ca="1" si="27"/>
        <v>577</v>
      </c>
      <c r="C531" t="s">
        <v>40</v>
      </c>
    </row>
    <row r="532" spans="1:3" x14ac:dyDescent="0.25">
      <c r="A532" s="71">
        <f t="shared" si="26"/>
        <v>60526</v>
      </c>
      <c r="B532">
        <f t="shared" ca="1" si="27"/>
        <v>577</v>
      </c>
      <c r="C532" t="s">
        <v>40</v>
      </c>
    </row>
    <row r="533" spans="1:3" x14ac:dyDescent="0.25">
      <c r="A533" s="71">
        <f t="shared" si="26"/>
        <v>60556</v>
      </c>
      <c r="B533">
        <f t="shared" ca="1" si="27"/>
        <v>577</v>
      </c>
      <c r="C533" t="s">
        <v>40</v>
      </c>
    </row>
    <row r="534" spans="1:3" x14ac:dyDescent="0.25">
      <c r="A534" s="71">
        <f t="shared" si="26"/>
        <v>60586</v>
      </c>
      <c r="B534">
        <f t="shared" ca="1" si="27"/>
        <v>577</v>
      </c>
      <c r="C534" t="s">
        <v>40</v>
      </c>
    </row>
    <row r="535" spans="1:3" x14ac:dyDescent="0.25">
      <c r="A535" s="71">
        <f t="shared" si="26"/>
        <v>60616</v>
      </c>
      <c r="B535">
        <f t="shared" ca="1" si="27"/>
        <v>577</v>
      </c>
      <c r="C535" t="s">
        <v>40</v>
      </c>
    </row>
    <row r="536" spans="1:3" x14ac:dyDescent="0.25">
      <c r="A536" s="71">
        <f t="shared" si="26"/>
        <v>60646</v>
      </c>
      <c r="B536">
        <f t="shared" ca="1" si="27"/>
        <v>577</v>
      </c>
      <c r="C536" t="s">
        <v>40</v>
      </c>
    </row>
    <row r="537" spans="1:3" x14ac:dyDescent="0.25">
      <c r="A537" s="71">
        <f t="shared" si="26"/>
        <v>60676</v>
      </c>
      <c r="B537">
        <f t="shared" ca="1" si="27"/>
        <v>577</v>
      </c>
      <c r="C537" t="s">
        <v>40</v>
      </c>
    </row>
    <row r="538" spans="1:3" x14ac:dyDescent="0.25">
      <c r="A538" s="71">
        <f t="shared" si="26"/>
        <v>60706</v>
      </c>
      <c r="B538">
        <f t="shared" ca="1" si="27"/>
        <v>577</v>
      </c>
      <c r="C538" t="s">
        <v>40</v>
      </c>
    </row>
    <row r="539" spans="1:3" x14ac:dyDescent="0.25">
      <c r="A539" s="71">
        <f t="shared" si="26"/>
        <v>60736</v>
      </c>
      <c r="B539">
        <f t="shared" ca="1" si="27"/>
        <v>577</v>
      </c>
      <c r="C539" t="s">
        <v>40</v>
      </c>
    </row>
    <row r="540" spans="1:3" x14ac:dyDescent="0.25">
      <c r="A540" s="71">
        <f t="shared" si="26"/>
        <v>60766</v>
      </c>
      <c r="B540">
        <f t="shared" ca="1" si="27"/>
        <v>577</v>
      </c>
      <c r="C540" t="s">
        <v>40</v>
      </c>
    </row>
    <row r="541" spans="1:3" x14ac:dyDescent="0.25">
      <c r="A541" s="71">
        <f t="shared" si="26"/>
        <v>60796</v>
      </c>
      <c r="B541">
        <f t="shared" ca="1" si="27"/>
        <v>577</v>
      </c>
      <c r="C541" t="s">
        <v>40</v>
      </c>
    </row>
    <row r="542" spans="1:3" x14ac:dyDescent="0.25">
      <c r="A542" s="71">
        <f t="shared" si="26"/>
        <v>60826</v>
      </c>
      <c r="B542">
        <f t="shared" ca="1" si="27"/>
        <v>577</v>
      </c>
      <c r="C542" t="s">
        <v>40</v>
      </c>
    </row>
    <row r="543" spans="1:3" x14ac:dyDescent="0.25">
      <c r="A543" s="71">
        <f t="shared" si="26"/>
        <v>60856</v>
      </c>
      <c r="B543">
        <f t="shared" ca="1" si="27"/>
        <v>577</v>
      </c>
      <c r="C543" t="s">
        <v>40</v>
      </c>
    </row>
    <row r="544" spans="1:3" x14ac:dyDescent="0.25">
      <c r="A544" s="71">
        <f t="shared" si="26"/>
        <v>60886</v>
      </c>
      <c r="B544">
        <f t="shared" ca="1" si="27"/>
        <v>577</v>
      </c>
      <c r="C544" t="s">
        <v>40</v>
      </c>
    </row>
    <row r="545" spans="1:3" x14ac:dyDescent="0.25">
      <c r="A545" s="71">
        <f t="shared" si="26"/>
        <v>60916</v>
      </c>
      <c r="B545">
        <f t="shared" ca="1" si="27"/>
        <v>577</v>
      </c>
      <c r="C545" t="s">
        <v>40</v>
      </c>
    </row>
    <row r="546" spans="1:3" x14ac:dyDescent="0.25">
      <c r="A546" s="71">
        <f t="shared" si="26"/>
        <v>60946</v>
      </c>
      <c r="B546">
        <f t="shared" ca="1" si="27"/>
        <v>577</v>
      </c>
      <c r="C546" t="s">
        <v>40</v>
      </c>
    </row>
    <row r="547" spans="1:3" x14ac:dyDescent="0.25">
      <c r="A547" s="71">
        <f t="shared" si="26"/>
        <v>60976</v>
      </c>
      <c r="B547">
        <f t="shared" ca="1" si="27"/>
        <v>577</v>
      </c>
      <c r="C547" t="s">
        <v>40</v>
      </c>
    </row>
    <row r="548" spans="1:3" x14ac:dyDescent="0.25">
      <c r="A548" s="71">
        <f t="shared" si="26"/>
        <v>61006</v>
      </c>
      <c r="B548">
        <f t="shared" ca="1" si="27"/>
        <v>577</v>
      </c>
      <c r="C548" t="s">
        <v>40</v>
      </c>
    </row>
    <row r="549" spans="1:3" x14ac:dyDescent="0.25">
      <c r="A549" s="71">
        <f t="shared" si="26"/>
        <v>61036</v>
      </c>
      <c r="B549">
        <f t="shared" ca="1" si="27"/>
        <v>577</v>
      </c>
      <c r="C549" t="s">
        <v>40</v>
      </c>
    </row>
    <row r="550" spans="1:3" x14ac:dyDescent="0.25">
      <c r="A550" s="71">
        <f t="shared" si="26"/>
        <v>61066</v>
      </c>
      <c r="B550">
        <f t="shared" ca="1" si="27"/>
        <v>577</v>
      </c>
      <c r="C550" t="s">
        <v>40</v>
      </c>
    </row>
    <row r="551" spans="1:3" x14ac:dyDescent="0.25">
      <c r="A551" s="71">
        <f t="shared" si="26"/>
        <v>61096</v>
      </c>
      <c r="B551">
        <f t="shared" ca="1" si="27"/>
        <v>577</v>
      </c>
      <c r="C551" t="s">
        <v>40</v>
      </c>
    </row>
    <row r="552" spans="1:3" x14ac:dyDescent="0.25">
      <c r="A552" s="71">
        <f t="shared" si="26"/>
        <v>61126</v>
      </c>
      <c r="B552">
        <f t="shared" ca="1" si="27"/>
        <v>577</v>
      </c>
      <c r="C552" t="s">
        <v>40</v>
      </c>
    </row>
    <row r="553" spans="1:3" x14ac:dyDescent="0.25">
      <c r="A553" s="71">
        <f t="shared" si="26"/>
        <v>61156</v>
      </c>
      <c r="B553">
        <f t="shared" ca="1" si="27"/>
        <v>577</v>
      </c>
      <c r="C553" t="s">
        <v>40</v>
      </c>
    </row>
    <row r="554" spans="1:3" x14ac:dyDescent="0.25">
      <c r="A554" s="71">
        <f t="shared" si="26"/>
        <v>61186</v>
      </c>
      <c r="B554">
        <f t="shared" ca="1" si="27"/>
        <v>577</v>
      </c>
      <c r="C554" t="s">
        <v>40</v>
      </c>
    </row>
    <row r="555" spans="1:3" x14ac:dyDescent="0.25">
      <c r="A555" s="71">
        <f t="shared" si="26"/>
        <v>61216</v>
      </c>
      <c r="B555">
        <f t="shared" ca="1" si="27"/>
        <v>577</v>
      </c>
      <c r="C555" t="s">
        <v>40</v>
      </c>
    </row>
    <row r="556" spans="1:3" x14ac:dyDescent="0.25">
      <c r="A556" s="71">
        <f t="shared" si="26"/>
        <v>61246</v>
      </c>
      <c r="B556">
        <f t="shared" ca="1" si="27"/>
        <v>577</v>
      </c>
      <c r="C556" t="s">
        <v>40</v>
      </c>
    </row>
    <row r="557" spans="1:3" x14ac:dyDescent="0.25">
      <c r="A557" s="71">
        <f t="shared" si="26"/>
        <v>61276</v>
      </c>
      <c r="B557">
        <f t="shared" ca="1" si="27"/>
        <v>577</v>
      </c>
      <c r="C557" t="s">
        <v>40</v>
      </c>
    </row>
    <row r="558" spans="1:3" x14ac:dyDescent="0.25">
      <c r="A558" s="71">
        <f t="shared" si="26"/>
        <v>61306</v>
      </c>
      <c r="B558">
        <f t="shared" ca="1" si="27"/>
        <v>577</v>
      </c>
      <c r="C558" t="s">
        <v>40</v>
      </c>
    </row>
    <row r="559" spans="1:3" x14ac:dyDescent="0.25">
      <c r="A559" s="71">
        <f t="shared" si="26"/>
        <v>61336</v>
      </c>
      <c r="B559">
        <f t="shared" ca="1" si="27"/>
        <v>577</v>
      </c>
      <c r="C559" t="s">
        <v>40</v>
      </c>
    </row>
    <row r="560" spans="1:3" x14ac:dyDescent="0.25">
      <c r="A560" s="71">
        <f t="shared" si="26"/>
        <v>61366</v>
      </c>
      <c r="B560">
        <f t="shared" ca="1" si="27"/>
        <v>577</v>
      </c>
      <c r="C560" t="s">
        <v>40</v>
      </c>
    </row>
    <row r="561" spans="1:3" x14ac:dyDescent="0.25">
      <c r="A561" s="71">
        <f t="shared" si="26"/>
        <v>61396</v>
      </c>
      <c r="B561">
        <f t="shared" ca="1" si="27"/>
        <v>577</v>
      </c>
      <c r="C561" t="s">
        <v>40</v>
      </c>
    </row>
    <row r="562" spans="1:3" x14ac:dyDescent="0.25">
      <c r="A562" s="71">
        <f t="shared" si="26"/>
        <v>61426</v>
      </c>
      <c r="B562">
        <f t="shared" ca="1" si="27"/>
        <v>577</v>
      </c>
      <c r="C562" t="s">
        <v>40</v>
      </c>
    </row>
    <row r="563" spans="1:3" x14ac:dyDescent="0.25">
      <c r="A563" s="71">
        <f t="shared" si="26"/>
        <v>61456</v>
      </c>
      <c r="B563">
        <f t="shared" ca="1" si="27"/>
        <v>577</v>
      </c>
      <c r="C563" t="s">
        <v>40</v>
      </c>
    </row>
    <row r="564" spans="1:3" x14ac:dyDescent="0.25">
      <c r="A564" s="71">
        <f t="shared" si="26"/>
        <v>61486</v>
      </c>
      <c r="B564">
        <f t="shared" ca="1" si="27"/>
        <v>577</v>
      </c>
      <c r="C564" t="s">
        <v>40</v>
      </c>
    </row>
    <row r="565" spans="1:3" x14ac:dyDescent="0.25">
      <c r="A565" s="71">
        <f t="shared" si="26"/>
        <v>61516</v>
      </c>
      <c r="B565">
        <f t="shared" ca="1" si="27"/>
        <v>577</v>
      </c>
      <c r="C565" t="s">
        <v>40</v>
      </c>
    </row>
    <row r="566" spans="1:3" x14ac:dyDescent="0.25">
      <c r="A566" s="71">
        <f t="shared" si="26"/>
        <v>61546</v>
      </c>
      <c r="B566">
        <f t="shared" ca="1" si="27"/>
        <v>577</v>
      </c>
      <c r="C566" t="s">
        <v>40</v>
      </c>
    </row>
    <row r="567" spans="1:3" x14ac:dyDescent="0.25">
      <c r="A567" s="71">
        <f t="shared" si="26"/>
        <v>61576</v>
      </c>
      <c r="B567">
        <f t="shared" ca="1" si="27"/>
        <v>577</v>
      </c>
      <c r="C567" t="s">
        <v>40</v>
      </c>
    </row>
    <row r="568" spans="1:3" x14ac:dyDescent="0.25">
      <c r="A568" s="71">
        <f t="shared" si="26"/>
        <v>61606</v>
      </c>
      <c r="B568">
        <f t="shared" ca="1" si="27"/>
        <v>577</v>
      </c>
      <c r="C568" t="s">
        <v>40</v>
      </c>
    </row>
    <row r="569" spans="1:3" x14ac:dyDescent="0.25">
      <c r="A569" s="71">
        <f t="shared" si="26"/>
        <v>61636</v>
      </c>
      <c r="B569">
        <f t="shared" ca="1" si="27"/>
        <v>577</v>
      </c>
      <c r="C569" t="s">
        <v>40</v>
      </c>
    </row>
    <row r="570" spans="1:3" x14ac:dyDescent="0.25">
      <c r="A570" s="71">
        <f t="shared" si="26"/>
        <v>61666</v>
      </c>
      <c r="B570">
        <f t="shared" ca="1" si="27"/>
        <v>577</v>
      </c>
      <c r="C570" t="s">
        <v>40</v>
      </c>
    </row>
    <row r="571" spans="1:3" x14ac:dyDescent="0.25">
      <c r="A571" s="71">
        <f t="shared" si="26"/>
        <v>61696</v>
      </c>
      <c r="B571">
        <f t="shared" ca="1" si="27"/>
        <v>577</v>
      </c>
      <c r="C571" t="s">
        <v>40</v>
      </c>
    </row>
    <row r="572" spans="1:3" x14ac:dyDescent="0.25">
      <c r="A572" s="71">
        <f t="shared" si="26"/>
        <v>61726</v>
      </c>
      <c r="B572">
        <f t="shared" ca="1" si="27"/>
        <v>577</v>
      </c>
      <c r="C572" t="s">
        <v>40</v>
      </c>
    </row>
    <row r="573" spans="1:3" x14ac:dyDescent="0.25">
      <c r="A573" s="71">
        <f t="shared" si="26"/>
        <v>61756</v>
      </c>
      <c r="B573">
        <f t="shared" ca="1" si="27"/>
        <v>577</v>
      </c>
      <c r="C573" t="s">
        <v>40</v>
      </c>
    </row>
    <row r="574" spans="1:3" x14ac:dyDescent="0.25">
      <c r="A574" s="71">
        <f t="shared" si="26"/>
        <v>61786</v>
      </c>
      <c r="B574">
        <f t="shared" ca="1" si="27"/>
        <v>577</v>
      </c>
      <c r="C574" t="s">
        <v>40</v>
      </c>
    </row>
    <row r="575" spans="1:3" x14ac:dyDescent="0.25">
      <c r="A575" s="71">
        <f t="shared" si="26"/>
        <v>61816</v>
      </c>
      <c r="B575">
        <f t="shared" ca="1" si="27"/>
        <v>577</v>
      </c>
      <c r="C575" t="s">
        <v>40</v>
      </c>
    </row>
    <row r="576" spans="1:3" x14ac:dyDescent="0.25">
      <c r="A576" s="71">
        <f t="shared" si="26"/>
        <v>61846</v>
      </c>
      <c r="B576">
        <f t="shared" ca="1" si="27"/>
        <v>577</v>
      </c>
      <c r="C576" t="s">
        <v>40</v>
      </c>
    </row>
    <row r="577" spans="1:3" x14ac:dyDescent="0.25">
      <c r="A577" s="71">
        <f t="shared" si="26"/>
        <v>61876</v>
      </c>
      <c r="B577">
        <f t="shared" ca="1" si="27"/>
        <v>577</v>
      </c>
      <c r="C577" t="s">
        <v>40</v>
      </c>
    </row>
    <row r="578" spans="1:3" x14ac:dyDescent="0.25">
      <c r="A578" s="71">
        <f t="shared" si="26"/>
        <v>61906</v>
      </c>
      <c r="B578">
        <f t="shared" ca="1" si="27"/>
        <v>577</v>
      </c>
      <c r="C578" t="s">
        <v>40</v>
      </c>
    </row>
    <row r="579" spans="1:3" x14ac:dyDescent="0.25">
      <c r="A579" s="71">
        <f t="shared" si="26"/>
        <v>61936</v>
      </c>
      <c r="B579">
        <f t="shared" ca="1" si="27"/>
        <v>577</v>
      </c>
      <c r="C579" t="s">
        <v>40</v>
      </c>
    </row>
    <row r="580" spans="1:3" x14ac:dyDescent="0.25">
      <c r="A580" s="71">
        <f t="shared" si="26"/>
        <v>61966</v>
      </c>
      <c r="B580">
        <f t="shared" ca="1" si="27"/>
        <v>577</v>
      </c>
      <c r="C580" t="s">
        <v>40</v>
      </c>
    </row>
    <row r="581" spans="1:3" x14ac:dyDescent="0.25">
      <c r="A581" s="71">
        <f t="shared" si="26"/>
        <v>61996</v>
      </c>
      <c r="B581">
        <f t="shared" ca="1" si="27"/>
        <v>577</v>
      </c>
      <c r="C581" t="s">
        <v>40</v>
      </c>
    </row>
    <row r="582" spans="1:3" x14ac:dyDescent="0.25">
      <c r="A582" s="71">
        <f t="shared" si="26"/>
        <v>62026</v>
      </c>
      <c r="B582">
        <f t="shared" ca="1" si="27"/>
        <v>577</v>
      </c>
      <c r="C582" t="s">
        <v>40</v>
      </c>
    </row>
    <row r="583" spans="1:3" x14ac:dyDescent="0.25">
      <c r="A583" s="71">
        <f t="shared" si="26"/>
        <v>62056</v>
      </c>
      <c r="B583">
        <f t="shared" ca="1" si="27"/>
        <v>577</v>
      </c>
      <c r="C583" t="s">
        <v>40</v>
      </c>
    </row>
    <row r="584" spans="1:3" x14ac:dyDescent="0.25">
      <c r="A584" s="71">
        <f t="shared" si="26"/>
        <v>62086</v>
      </c>
      <c r="B584">
        <f t="shared" ca="1" si="27"/>
        <v>577</v>
      </c>
      <c r="C584" t="s">
        <v>40</v>
      </c>
    </row>
    <row r="585" spans="1:3" x14ac:dyDescent="0.25">
      <c r="A585" s="71">
        <f t="shared" si="26"/>
        <v>62116</v>
      </c>
      <c r="B585">
        <f t="shared" ca="1" si="27"/>
        <v>577</v>
      </c>
      <c r="C585" t="s">
        <v>40</v>
      </c>
    </row>
    <row r="586" spans="1:3" x14ac:dyDescent="0.25">
      <c r="A586" s="71">
        <f t="shared" si="26"/>
        <v>62146</v>
      </c>
      <c r="B586">
        <f t="shared" ca="1" si="27"/>
        <v>577</v>
      </c>
      <c r="C586" t="s">
        <v>40</v>
      </c>
    </row>
    <row r="587" spans="1:3" x14ac:dyDescent="0.25">
      <c r="A587" s="71">
        <f t="shared" si="26"/>
        <v>62176</v>
      </c>
      <c r="B587">
        <f t="shared" ca="1" si="27"/>
        <v>577</v>
      </c>
      <c r="C587" t="s">
        <v>40</v>
      </c>
    </row>
    <row r="588" spans="1:3" x14ac:dyDescent="0.25">
      <c r="A588" s="71">
        <f t="shared" ref="A588:A651" si="28">A587+30</f>
        <v>62206</v>
      </c>
      <c r="B588">
        <f t="shared" ref="B588:B651" ca="1" si="29">B587</f>
        <v>577</v>
      </c>
      <c r="C588" t="s">
        <v>40</v>
      </c>
    </row>
    <row r="589" spans="1:3" x14ac:dyDescent="0.25">
      <c r="A589" s="71">
        <f t="shared" si="28"/>
        <v>62236</v>
      </c>
      <c r="B589">
        <f t="shared" ca="1" si="29"/>
        <v>577</v>
      </c>
      <c r="C589" t="s">
        <v>40</v>
      </c>
    </row>
    <row r="590" spans="1:3" x14ac:dyDescent="0.25">
      <c r="A590" s="71">
        <f t="shared" si="28"/>
        <v>62266</v>
      </c>
      <c r="B590">
        <f t="shared" ca="1" si="29"/>
        <v>577</v>
      </c>
      <c r="C590" t="s">
        <v>40</v>
      </c>
    </row>
    <row r="591" spans="1:3" x14ac:dyDescent="0.25">
      <c r="A591" s="71">
        <f t="shared" si="28"/>
        <v>62296</v>
      </c>
      <c r="B591">
        <f t="shared" ca="1" si="29"/>
        <v>577</v>
      </c>
      <c r="C591" t="s">
        <v>40</v>
      </c>
    </row>
    <row r="592" spans="1:3" x14ac:dyDescent="0.25">
      <c r="A592" s="71">
        <f t="shared" si="28"/>
        <v>62326</v>
      </c>
      <c r="B592">
        <f t="shared" ca="1" si="29"/>
        <v>577</v>
      </c>
      <c r="C592" t="s">
        <v>40</v>
      </c>
    </row>
    <row r="593" spans="1:3" x14ac:dyDescent="0.25">
      <c r="A593" s="71">
        <f t="shared" si="28"/>
        <v>62356</v>
      </c>
      <c r="B593">
        <f t="shared" ca="1" si="29"/>
        <v>577</v>
      </c>
      <c r="C593" t="s">
        <v>40</v>
      </c>
    </row>
    <row r="594" spans="1:3" x14ac:dyDescent="0.25">
      <c r="A594" s="71">
        <f t="shared" si="28"/>
        <v>62386</v>
      </c>
      <c r="B594">
        <f t="shared" ca="1" si="29"/>
        <v>577</v>
      </c>
      <c r="C594" t="s">
        <v>40</v>
      </c>
    </row>
    <row r="595" spans="1:3" x14ac:dyDescent="0.25">
      <c r="A595" s="71">
        <f t="shared" si="28"/>
        <v>62416</v>
      </c>
      <c r="B595">
        <f t="shared" ca="1" si="29"/>
        <v>577</v>
      </c>
      <c r="C595" t="s">
        <v>40</v>
      </c>
    </row>
    <row r="596" spans="1:3" x14ac:dyDescent="0.25">
      <c r="A596" s="71">
        <f t="shared" si="28"/>
        <v>62446</v>
      </c>
      <c r="B596">
        <f t="shared" ca="1" si="29"/>
        <v>577</v>
      </c>
      <c r="C596" t="s">
        <v>40</v>
      </c>
    </row>
    <row r="597" spans="1:3" x14ac:dyDescent="0.25">
      <c r="A597" s="71">
        <f t="shared" si="28"/>
        <v>62476</v>
      </c>
      <c r="B597">
        <f t="shared" ca="1" si="29"/>
        <v>577</v>
      </c>
      <c r="C597" t="s">
        <v>40</v>
      </c>
    </row>
    <row r="598" spans="1:3" x14ac:dyDescent="0.25">
      <c r="A598" s="71">
        <f t="shared" si="28"/>
        <v>62506</v>
      </c>
      <c r="B598">
        <f t="shared" ca="1" si="29"/>
        <v>577</v>
      </c>
      <c r="C598" t="s">
        <v>40</v>
      </c>
    </row>
    <row r="599" spans="1:3" x14ac:dyDescent="0.25">
      <c r="A599" s="71">
        <f t="shared" si="28"/>
        <v>62536</v>
      </c>
      <c r="B599">
        <f t="shared" ca="1" si="29"/>
        <v>577</v>
      </c>
      <c r="C599" t="s">
        <v>40</v>
      </c>
    </row>
    <row r="600" spans="1:3" x14ac:dyDescent="0.25">
      <c r="A600" s="71">
        <f t="shared" si="28"/>
        <v>62566</v>
      </c>
      <c r="B600">
        <f t="shared" ca="1" si="29"/>
        <v>577</v>
      </c>
      <c r="C600" t="s">
        <v>40</v>
      </c>
    </row>
    <row r="601" spans="1:3" x14ac:dyDescent="0.25">
      <c r="A601" s="71">
        <f t="shared" si="28"/>
        <v>62596</v>
      </c>
      <c r="B601">
        <f t="shared" ca="1" si="29"/>
        <v>577</v>
      </c>
      <c r="C601" t="s">
        <v>40</v>
      </c>
    </row>
    <row r="602" spans="1:3" x14ac:dyDescent="0.25">
      <c r="A602" s="71">
        <f t="shared" si="28"/>
        <v>62626</v>
      </c>
      <c r="B602">
        <f t="shared" ca="1" si="29"/>
        <v>577</v>
      </c>
      <c r="C602" t="s">
        <v>40</v>
      </c>
    </row>
    <row r="603" spans="1:3" x14ac:dyDescent="0.25">
      <c r="A603" s="71">
        <f t="shared" si="28"/>
        <v>62656</v>
      </c>
      <c r="B603">
        <f t="shared" ca="1" si="29"/>
        <v>577</v>
      </c>
      <c r="C603" t="s">
        <v>40</v>
      </c>
    </row>
    <row r="604" spans="1:3" x14ac:dyDescent="0.25">
      <c r="A604" s="71">
        <f t="shared" si="28"/>
        <v>62686</v>
      </c>
      <c r="B604">
        <f t="shared" ca="1" si="29"/>
        <v>577</v>
      </c>
      <c r="C604" t="s">
        <v>40</v>
      </c>
    </row>
    <row r="605" spans="1:3" x14ac:dyDescent="0.25">
      <c r="A605" s="71">
        <f t="shared" si="28"/>
        <v>62716</v>
      </c>
      <c r="B605">
        <f t="shared" ca="1" si="29"/>
        <v>577</v>
      </c>
      <c r="C605" t="s">
        <v>40</v>
      </c>
    </row>
    <row r="606" spans="1:3" x14ac:dyDescent="0.25">
      <c r="A606" s="71">
        <f t="shared" si="28"/>
        <v>62746</v>
      </c>
      <c r="B606">
        <f t="shared" ca="1" si="29"/>
        <v>577</v>
      </c>
      <c r="C606" t="s">
        <v>40</v>
      </c>
    </row>
    <row r="607" spans="1:3" x14ac:dyDescent="0.25">
      <c r="A607" s="71">
        <f t="shared" si="28"/>
        <v>62776</v>
      </c>
      <c r="B607">
        <f t="shared" ca="1" si="29"/>
        <v>577</v>
      </c>
      <c r="C607" t="s">
        <v>40</v>
      </c>
    </row>
    <row r="608" spans="1:3" x14ac:dyDescent="0.25">
      <c r="A608" s="71">
        <f t="shared" si="28"/>
        <v>62806</v>
      </c>
      <c r="B608">
        <f t="shared" ca="1" si="29"/>
        <v>577</v>
      </c>
      <c r="C608" t="s">
        <v>40</v>
      </c>
    </row>
    <row r="609" spans="1:3" x14ac:dyDescent="0.25">
      <c r="A609" s="71">
        <f t="shared" si="28"/>
        <v>62836</v>
      </c>
      <c r="B609">
        <f t="shared" ca="1" si="29"/>
        <v>577</v>
      </c>
      <c r="C609" t="s">
        <v>40</v>
      </c>
    </row>
    <row r="610" spans="1:3" x14ac:dyDescent="0.25">
      <c r="A610" s="71">
        <f t="shared" si="28"/>
        <v>62866</v>
      </c>
      <c r="B610">
        <f t="shared" ca="1" si="29"/>
        <v>577</v>
      </c>
      <c r="C610" t="s">
        <v>40</v>
      </c>
    </row>
    <row r="611" spans="1:3" x14ac:dyDescent="0.25">
      <c r="A611" s="71">
        <f t="shared" si="28"/>
        <v>62896</v>
      </c>
      <c r="B611">
        <f t="shared" ca="1" si="29"/>
        <v>577</v>
      </c>
      <c r="C611" t="s">
        <v>40</v>
      </c>
    </row>
    <row r="612" spans="1:3" x14ac:dyDescent="0.25">
      <c r="A612" s="71">
        <f t="shared" si="28"/>
        <v>62926</v>
      </c>
      <c r="B612">
        <f t="shared" ca="1" si="29"/>
        <v>577</v>
      </c>
      <c r="C612" t="s">
        <v>40</v>
      </c>
    </row>
    <row r="613" spans="1:3" x14ac:dyDescent="0.25">
      <c r="A613" s="71">
        <f t="shared" si="28"/>
        <v>62956</v>
      </c>
      <c r="B613">
        <f t="shared" ca="1" si="29"/>
        <v>577</v>
      </c>
      <c r="C613" t="s">
        <v>40</v>
      </c>
    </row>
    <row r="614" spans="1:3" x14ac:dyDescent="0.25">
      <c r="A614" s="71">
        <f t="shared" si="28"/>
        <v>62986</v>
      </c>
      <c r="B614">
        <f t="shared" ca="1" si="29"/>
        <v>577</v>
      </c>
      <c r="C614" t="s">
        <v>40</v>
      </c>
    </row>
    <row r="615" spans="1:3" x14ac:dyDescent="0.25">
      <c r="A615" s="71">
        <f t="shared" si="28"/>
        <v>63016</v>
      </c>
      <c r="B615">
        <f t="shared" ca="1" si="29"/>
        <v>577</v>
      </c>
      <c r="C615" t="s">
        <v>40</v>
      </c>
    </row>
    <row r="616" spans="1:3" x14ac:dyDescent="0.25">
      <c r="A616" s="71">
        <f t="shared" si="28"/>
        <v>63046</v>
      </c>
      <c r="B616">
        <f t="shared" ca="1" si="29"/>
        <v>577</v>
      </c>
      <c r="C616" t="s">
        <v>40</v>
      </c>
    </row>
    <row r="617" spans="1:3" x14ac:dyDescent="0.25">
      <c r="A617" s="71">
        <f t="shared" si="28"/>
        <v>63076</v>
      </c>
      <c r="B617">
        <f t="shared" ca="1" si="29"/>
        <v>577</v>
      </c>
      <c r="C617" t="s">
        <v>40</v>
      </c>
    </row>
    <row r="618" spans="1:3" x14ac:dyDescent="0.25">
      <c r="A618" s="71">
        <f t="shared" si="28"/>
        <v>63106</v>
      </c>
      <c r="B618">
        <f t="shared" ca="1" si="29"/>
        <v>577</v>
      </c>
      <c r="C618" t="s">
        <v>40</v>
      </c>
    </row>
    <row r="619" spans="1:3" x14ac:dyDescent="0.25">
      <c r="A619" s="71">
        <f t="shared" si="28"/>
        <v>63136</v>
      </c>
      <c r="B619">
        <f t="shared" ca="1" si="29"/>
        <v>577</v>
      </c>
      <c r="C619" t="s">
        <v>40</v>
      </c>
    </row>
    <row r="620" spans="1:3" x14ac:dyDescent="0.25">
      <c r="A620" s="71">
        <f t="shared" si="28"/>
        <v>63166</v>
      </c>
      <c r="B620">
        <f t="shared" ca="1" si="29"/>
        <v>577</v>
      </c>
      <c r="C620" t="s">
        <v>40</v>
      </c>
    </row>
    <row r="621" spans="1:3" x14ac:dyDescent="0.25">
      <c r="A621" s="71">
        <f t="shared" si="28"/>
        <v>63196</v>
      </c>
      <c r="B621">
        <f t="shared" ca="1" si="29"/>
        <v>577</v>
      </c>
      <c r="C621" t="s">
        <v>40</v>
      </c>
    </row>
    <row r="622" spans="1:3" x14ac:dyDescent="0.25">
      <c r="A622" s="71">
        <f t="shared" si="28"/>
        <v>63226</v>
      </c>
      <c r="B622">
        <f t="shared" ca="1" si="29"/>
        <v>577</v>
      </c>
      <c r="C622" t="s">
        <v>40</v>
      </c>
    </row>
    <row r="623" spans="1:3" x14ac:dyDescent="0.25">
      <c r="A623" s="71">
        <f t="shared" si="28"/>
        <v>63256</v>
      </c>
      <c r="B623">
        <f t="shared" ca="1" si="29"/>
        <v>577</v>
      </c>
      <c r="C623" t="s">
        <v>40</v>
      </c>
    </row>
    <row r="624" spans="1:3" x14ac:dyDescent="0.25">
      <c r="A624" s="71">
        <f t="shared" si="28"/>
        <v>63286</v>
      </c>
      <c r="B624">
        <f t="shared" ca="1" si="29"/>
        <v>577</v>
      </c>
      <c r="C624" t="s">
        <v>40</v>
      </c>
    </row>
    <row r="625" spans="1:3" x14ac:dyDescent="0.25">
      <c r="A625" s="71">
        <f t="shared" si="28"/>
        <v>63316</v>
      </c>
      <c r="B625">
        <f t="shared" ca="1" si="29"/>
        <v>577</v>
      </c>
      <c r="C625" t="s">
        <v>40</v>
      </c>
    </row>
    <row r="626" spans="1:3" x14ac:dyDescent="0.25">
      <c r="A626" s="71">
        <f t="shared" si="28"/>
        <v>63346</v>
      </c>
      <c r="B626">
        <f t="shared" ca="1" si="29"/>
        <v>577</v>
      </c>
      <c r="C626" t="s">
        <v>40</v>
      </c>
    </row>
    <row r="627" spans="1:3" x14ac:dyDescent="0.25">
      <c r="A627" s="71">
        <f t="shared" si="28"/>
        <v>63376</v>
      </c>
      <c r="B627">
        <f t="shared" ca="1" si="29"/>
        <v>577</v>
      </c>
      <c r="C627" t="s">
        <v>40</v>
      </c>
    </row>
    <row r="628" spans="1:3" x14ac:dyDescent="0.25">
      <c r="A628" s="71">
        <f t="shared" si="28"/>
        <v>63406</v>
      </c>
      <c r="B628">
        <f t="shared" ca="1" si="29"/>
        <v>577</v>
      </c>
      <c r="C628" t="s">
        <v>40</v>
      </c>
    </row>
    <row r="629" spans="1:3" x14ac:dyDescent="0.25">
      <c r="A629" s="71">
        <f t="shared" si="28"/>
        <v>63436</v>
      </c>
      <c r="B629">
        <f t="shared" ca="1" si="29"/>
        <v>577</v>
      </c>
      <c r="C629" t="s">
        <v>40</v>
      </c>
    </row>
    <row r="630" spans="1:3" x14ac:dyDescent="0.25">
      <c r="A630" s="71">
        <f t="shared" si="28"/>
        <v>63466</v>
      </c>
      <c r="B630">
        <f t="shared" ca="1" si="29"/>
        <v>577</v>
      </c>
      <c r="C630" t="s">
        <v>40</v>
      </c>
    </row>
    <row r="631" spans="1:3" x14ac:dyDescent="0.25">
      <c r="A631" s="71">
        <f t="shared" si="28"/>
        <v>63496</v>
      </c>
      <c r="B631">
        <f t="shared" ca="1" si="29"/>
        <v>577</v>
      </c>
      <c r="C631" t="s">
        <v>40</v>
      </c>
    </row>
    <row r="632" spans="1:3" x14ac:dyDescent="0.25">
      <c r="A632" s="71">
        <f t="shared" si="28"/>
        <v>63526</v>
      </c>
      <c r="B632">
        <f t="shared" ca="1" si="29"/>
        <v>577</v>
      </c>
      <c r="C632" t="s">
        <v>40</v>
      </c>
    </row>
    <row r="633" spans="1:3" x14ac:dyDescent="0.25">
      <c r="A633" s="71">
        <f t="shared" si="28"/>
        <v>63556</v>
      </c>
      <c r="B633">
        <f t="shared" ca="1" si="29"/>
        <v>577</v>
      </c>
      <c r="C633" t="s">
        <v>40</v>
      </c>
    </row>
    <row r="634" spans="1:3" x14ac:dyDescent="0.25">
      <c r="A634" s="71">
        <f t="shared" si="28"/>
        <v>63586</v>
      </c>
      <c r="B634">
        <f t="shared" ca="1" si="29"/>
        <v>577</v>
      </c>
      <c r="C634" t="s">
        <v>40</v>
      </c>
    </row>
    <row r="635" spans="1:3" x14ac:dyDescent="0.25">
      <c r="A635" s="71">
        <f t="shared" si="28"/>
        <v>63616</v>
      </c>
      <c r="B635">
        <f t="shared" ca="1" si="29"/>
        <v>577</v>
      </c>
      <c r="C635" t="s">
        <v>40</v>
      </c>
    </row>
    <row r="636" spans="1:3" x14ac:dyDescent="0.25">
      <c r="A636" s="71">
        <f t="shared" si="28"/>
        <v>63646</v>
      </c>
      <c r="B636">
        <f t="shared" ca="1" si="29"/>
        <v>577</v>
      </c>
      <c r="C636" t="s">
        <v>40</v>
      </c>
    </row>
    <row r="637" spans="1:3" x14ac:dyDescent="0.25">
      <c r="A637" s="71">
        <f t="shared" si="28"/>
        <v>63676</v>
      </c>
      <c r="B637">
        <f t="shared" ca="1" si="29"/>
        <v>577</v>
      </c>
      <c r="C637" t="s">
        <v>40</v>
      </c>
    </row>
    <row r="638" spans="1:3" x14ac:dyDescent="0.25">
      <c r="A638" s="71">
        <f t="shared" si="28"/>
        <v>63706</v>
      </c>
      <c r="B638">
        <f t="shared" ca="1" si="29"/>
        <v>577</v>
      </c>
      <c r="C638" t="s">
        <v>40</v>
      </c>
    </row>
    <row r="639" spans="1:3" x14ac:dyDescent="0.25">
      <c r="A639" s="71">
        <f t="shared" si="28"/>
        <v>63736</v>
      </c>
      <c r="B639">
        <f t="shared" ca="1" si="29"/>
        <v>577</v>
      </c>
      <c r="C639" t="s">
        <v>40</v>
      </c>
    </row>
    <row r="640" spans="1:3" x14ac:dyDescent="0.25">
      <c r="A640" s="71">
        <f t="shared" si="28"/>
        <v>63766</v>
      </c>
      <c r="B640">
        <f t="shared" ca="1" si="29"/>
        <v>577</v>
      </c>
      <c r="C640" t="s">
        <v>40</v>
      </c>
    </row>
    <row r="641" spans="1:3" x14ac:dyDescent="0.25">
      <c r="A641" s="71">
        <f t="shared" si="28"/>
        <v>63796</v>
      </c>
      <c r="B641">
        <f t="shared" ca="1" si="29"/>
        <v>577</v>
      </c>
      <c r="C641" t="s">
        <v>40</v>
      </c>
    </row>
    <row r="642" spans="1:3" x14ac:dyDescent="0.25">
      <c r="A642" s="71">
        <f t="shared" si="28"/>
        <v>63826</v>
      </c>
      <c r="B642">
        <f t="shared" ca="1" si="29"/>
        <v>577</v>
      </c>
      <c r="C642" t="s">
        <v>40</v>
      </c>
    </row>
    <row r="643" spans="1:3" x14ac:dyDescent="0.25">
      <c r="A643" s="71">
        <f t="shared" si="28"/>
        <v>63856</v>
      </c>
      <c r="B643">
        <f t="shared" ca="1" si="29"/>
        <v>577</v>
      </c>
      <c r="C643" t="s">
        <v>40</v>
      </c>
    </row>
    <row r="644" spans="1:3" x14ac:dyDescent="0.25">
      <c r="A644" s="71">
        <f t="shared" si="28"/>
        <v>63886</v>
      </c>
      <c r="B644">
        <f t="shared" ca="1" si="29"/>
        <v>577</v>
      </c>
      <c r="C644" t="s">
        <v>40</v>
      </c>
    </row>
    <row r="645" spans="1:3" x14ac:dyDescent="0.25">
      <c r="A645" s="71">
        <f t="shared" si="28"/>
        <v>63916</v>
      </c>
      <c r="B645">
        <f t="shared" ca="1" si="29"/>
        <v>577</v>
      </c>
      <c r="C645" t="s">
        <v>40</v>
      </c>
    </row>
    <row r="646" spans="1:3" x14ac:dyDescent="0.25">
      <c r="A646" s="71">
        <f t="shared" si="28"/>
        <v>63946</v>
      </c>
      <c r="B646">
        <f t="shared" ca="1" si="29"/>
        <v>577</v>
      </c>
      <c r="C646" t="s">
        <v>40</v>
      </c>
    </row>
    <row r="647" spans="1:3" x14ac:dyDescent="0.25">
      <c r="A647" s="71">
        <f t="shared" si="28"/>
        <v>63976</v>
      </c>
      <c r="B647">
        <f t="shared" ca="1" si="29"/>
        <v>577</v>
      </c>
      <c r="C647" t="s">
        <v>40</v>
      </c>
    </row>
    <row r="648" spans="1:3" x14ac:dyDescent="0.25">
      <c r="A648" s="71">
        <f t="shared" si="28"/>
        <v>64006</v>
      </c>
      <c r="B648">
        <f t="shared" ca="1" si="29"/>
        <v>577</v>
      </c>
      <c r="C648" t="s">
        <v>40</v>
      </c>
    </row>
    <row r="649" spans="1:3" x14ac:dyDescent="0.25">
      <c r="A649" s="71">
        <f t="shared" si="28"/>
        <v>64036</v>
      </c>
      <c r="B649">
        <f t="shared" ca="1" si="29"/>
        <v>577</v>
      </c>
      <c r="C649" t="s">
        <v>40</v>
      </c>
    </row>
    <row r="650" spans="1:3" x14ac:dyDescent="0.25">
      <c r="A650" s="71">
        <f t="shared" si="28"/>
        <v>64066</v>
      </c>
      <c r="B650">
        <f t="shared" ca="1" si="29"/>
        <v>577</v>
      </c>
      <c r="C650" t="s">
        <v>40</v>
      </c>
    </row>
    <row r="651" spans="1:3" x14ac:dyDescent="0.25">
      <c r="A651" s="71">
        <f t="shared" si="28"/>
        <v>64096</v>
      </c>
      <c r="B651">
        <f t="shared" ca="1" si="29"/>
        <v>577</v>
      </c>
      <c r="C651" t="s">
        <v>40</v>
      </c>
    </row>
    <row r="652" spans="1:3" x14ac:dyDescent="0.25">
      <c r="A652" s="71">
        <f t="shared" ref="A652:A715" si="30">A651+30</f>
        <v>64126</v>
      </c>
      <c r="B652">
        <f t="shared" ref="B652:B715" ca="1" si="31">B651</f>
        <v>577</v>
      </c>
      <c r="C652" t="s">
        <v>40</v>
      </c>
    </row>
    <row r="653" spans="1:3" x14ac:dyDescent="0.25">
      <c r="A653" s="71">
        <f t="shared" si="30"/>
        <v>64156</v>
      </c>
      <c r="B653">
        <f t="shared" ca="1" si="31"/>
        <v>577</v>
      </c>
      <c r="C653" t="s">
        <v>40</v>
      </c>
    </row>
    <row r="654" spans="1:3" x14ac:dyDescent="0.25">
      <c r="A654" s="71">
        <f t="shared" si="30"/>
        <v>64186</v>
      </c>
      <c r="B654">
        <f t="shared" ca="1" si="31"/>
        <v>577</v>
      </c>
      <c r="C654" t="s">
        <v>40</v>
      </c>
    </row>
    <row r="655" spans="1:3" x14ac:dyDescent="0.25">
      <c r="A655" s="71">
        <f t="shared" si="30"/>
        <v>64216</v>
      </c>
      <c r="B655">
        <f t="shared" ca="1" si="31"/>
        <v>577</v>
      </c>
      <c r="C655" t="s">
        <v>40</v>
      </c>
    </row>
    <row r="656" spans="1:3" x14ac:dyDescent="0.25">
      <c r="A656" s="71">
        <f t="shared" si="30"/>
        <v>64246</v>
      </c>
      <c r="B656">
        <f t="shared" ca="1" si="31"/>
        <v>577</v>
      </c>
      <c r="C656" t="s">
        <v>40</v>
      </c>
    </row>
    <row r="657" spans="1:3" x14ac:dyDescent="0.25">
      <c r="A657" s="71">
        <f t="shared" si="30"/>
        <v>64276</v>
      </c>
      <c r="B657">
        <f t="shared" ca="1" si="31"/>
        <v>577</v>
      </c>
      <c r="C657" t="s">
        <v>40</v>
      </c>
    </row>
    <row r="658" spans="1:3" x14ac:dyDescent="0.25">
      <c r="A658" s="71">
        <f t="shared" si="30"/>
        <v>64306</v>
      </c>
      <c r="B658">
        <f t="shared" ca="1" si="31"/>
        <v>577</v>
      </c>
      <c r="C658" t="s">
        <v>40</v>
      </c>
    </row>
    <row r="659" spans="1:3" x14ac:dyDescent="0.25">
      <c r="A659" s="71">
        <f t="shared" si="30"/>
        <v>64336</v>
      </c>
      <c r="B659">
        <f t="shared" ca="1" si="31"/>
        <v>577</v>
      </c>
      <c r="C659" t="s">
        <v>40</v>
      </c>
    </row>
    <row r="660" spans="1:3" x14ac:dyDescent="0.25">
      <c r="A660" s="71">
        <f t="shared" si="30"/>
        <v>64366</v>
      </c>
      <c r="B660">
        <f t="shared" ca="1" si="31"/>
        <v>577</v>
      </c>
      <c r="C660" t="s">
        <v>40</v>
      </c>
    </row>
    <row r="661" spans="1:3" x14ac:dyDescent="0.25">
      <c r="A661" s="71">
        <f t="shared" si="30"/>
        <v>64396</v>
      </c>
      <c r="B661">
        <f t="shared" ca="1" si="31"/>
        <v>577</v>
      </c>
      <c r="C661" t="s">
        <v>40</v>
      </c>
    </row>
    <row r="662" spans="1:3" x14ac:dyDescent="0.25">
      <c r="A662" s="71">
        <f t="shared" si="30"/>
        <v>64426</v>
      </c>
      <c r="B662">
        <f t="shared" ca="1" si="31"/>
        <v>577</v>
      </c>
      <c r="C662" t="s">
        <v>40</v>
      </c>
    </row>
    <row r="663" spans="1:3" x14ac:dyDescent="0.25">
      <c r="A663" s="71">
        <f t="shared" si="30"/>
        <v>64456</v>
      </c>
      <c r="B663">
        <f t="shared" ca="1" si="31"/>
        <v>577</v>
      </c>
      <c r="C663" t="s">
        <v>40</v>
      </c>
    </row>
    <row r="664" spans="1:3" x14ac:dyDescent="0.25">
      <c r="A664" s="71">
        <f t="shared" si="30"/>
        <v>64486</v>
      </c>
      <c r="B664">
        <f t="shared" ca="1" si="31"/>
        <v>577</v>
      </c>
      <c r="C664" t="s">
        <v>40</v>
      </c>
    </row>
    <row r="665" spans="1:3" x14ac:dyDescent="0.25">
      <c r="A665" s="71">
        <f t="shared" si="30"/>
        <v>64516</v>
      </c>
      <c r="B665">
        <f t="shared" ca="1" si="31"/>
        <v>577</v>
      </c>
      <c r="C665" t="s">
        <v>40</v>
      </c>
    </row>
    <row r="666" spans="1:3" x14ac:dyDescent="0.25">
      <c r="A666" s="71">
        <f t="shared" si="30"/>
        <v>64546</v>
      </c>
      <c r="B666">
        <f t="shared" ca="1" si="31"/>
        <v>577</v>
      </c>
      <c r="C666" t="s">
        <v>40</v>
      </c>
    </row>
    <row r="667" spans="1:3" x14ac:dyDescent="0.25">
      <c r="A667" s="71">
        <f t="shared" si="30"/>
        <v>64576</v>
      </c>
      <c r="B667">
        <f t="shared" ca="1" si="31"/>
        <v>577</v>
      </c>
      <c r="C667" t="s">
        <v>40</v>
      </c>
    </row>
    <row r="668" spans="1:3" x14ac:dyDescent="0.25">
      <c r="A668" s="71">
        <f t="shared" si="30"/>
        <v>64606</v>
      </c>
      <c r="B668">
        <f t="shared" ca="1" si="31"/>
        <v>577</v>
      </c>
      <c r="C668" t="s">
        <v>40</v>
      </c>
    </row>
    <row r="669" spans="1:3" x14ac:dyDescent="0.25">
      <c r="A669" s="71">
        <f t="shared" si="30"/>
        <v>64636</v>
      </c>
      <c r="B669">
        <f t="shared" ca="1" si="31"/>
        <v>577</v>
      </c>
      <c r="C669" t="s">
        <v>40</v>
      </c>
    </row>
    <row r="670" spans="1:3" x14ac:dyDescent="0.25">
      <c r="A670" s="71">
        <f t="shared" si="30"/>
        <v>64666</v>
      </c>
      <c r="B670">
        <f t="shared" ca="1" si="31"/>
        <v>577</v>
      </c>
      <c r="C670" t="s">
        <v>40</v>
      </c>
    </row>
    <row r="671" spans="1:3" x14ac:dyDescent="0.25">
      <c r="A671" s="71">
        <f t="shared" si="30"/>
        <v>64696</v>
      </c>
      <c r="B671">
        <f t="shared" ca="1" si="31"/>
        <v>577</v>
      </c>
      <c r="C671" t="s">
        <v>40</v>
      </c>
    </row>
    <row r="672" spans="1:3" x14ac:dyDescent="0.25">
      <c r="A672" s="71">
        <f t="shared" si="30"/>
        <v>64726</v>
      </c>
      <c r="B672">
        <f t="shared" ca="1" si="31"/>
        <v>577</v>
      </c>
      <c r="C672" t="s">
        <v>40</v>
      </c>
    </row>
    <row r="673" spans="1:3" x14ac:dyDescent="0.25">
      <c r="A673" s="71">
        <f t="shared" si="30"/>
        <v>64756</v>
      </c>
      <c r="B673">
        <f t="shared" ca="1" si="31"/>
        <v>577</v>
      </c>
      <c r="C673" t="s">
        <v>40</v>
      </c>
    </row>
    <row r="674" spans="1:3" x14ac:dyDescent="0.25">
      <c r="A674" s="71">
        <f t="shared" si="30"/>
        <v>64786</v>
      </c>
      <c r="B674">
        <f t="shared" ca="1" si="31"/>
        <v>577</v>
      </c>
      <c r="C674" t="s">
        <v>40</v>
      </c>
    </row>
    <row r="675" spans="1:3" x14ac:dyDescent="0.25">
      <c r="A675" s="71">
        <f t="shared" si="30"/>
        <v>64816</v>
      </c>
      <c r="B675">
        <f t="shared" ca="1" si="31"/>
        <v>577</v>
      </c>
      <c r="C675" t="s">
        <v>40</v>
      </c>
    </row>
    <row r="676" spans="1:3" x14ac:dyDescent="0.25">
      <c r="A676" s="71">
        <f t="shared" si="30"/>
        <v>64846</v>
      </c>
      <c r="B676">
        <f t="shared" ca="1" si="31"/>
        <v>577</v>
      </c>
      <c r="C676" t="s">
        <v>40</v>
      </c>
    </row>
    <row r="677" spans="1:3" x14ac:dyDescent="0.25">
      <c r="A677" s="71">
        <f t="shared" si="30"/>
        <v>64876</v>
      </c>
      <c r="B677">
        <f t="shared" ca="1" si="31"/>
        <v>577</v>
      </c>
      <c r="C677" t="s">
        <v>40</v>
      </c>
    </row>
    <row r="678" spans="1:3" x14ac:dyDescent="0.25">
      <c r="A678" s="71">
        <f t="shared" si="30"/>
        <v>64906</v>
      </c>
      <c r="B678">
        <f t="shared" ca="1" si="31"/>
        <v>577</v>
      </c>
      <c r="C678" t="s">
        <v>40</v>
      </c>
    </row>
    <row r="679" spans="1:3" x14ac:dyDescent="0.25">
      <c r="A679" s="71">
        <f t="shared" si="30"/>
        <v>64936</v>
      </c>
      <c r="B679">
        <f t="shared" ca="1" si="31"/>
        <v>577</v>
      </c>
      <c r="C679" t="s">
        <v>40</v>
      </c>
    </row>
    <row r="680" spans="1:3" x14ac:dyDescent="0.25">
      <c r="A680" s="71">
        <f t="shared" si="30"/>
        <v>64966</v>
      </c>
      <c r="B680">
        <f t="shared" ca="1" si="31"/>
        <v>577</v>
      </c>
      <c r="C680" t="s">
        <v>40</v>
      </c>
    </row>
    <row r="681" spans="1:3" x14ac:dyDescent="0.25">
      <c r="A681" s="71">
        <f t="shared" si="30"/>
        <v>64996</v>
      </c>
      <c r="B681">
        <f t="shared" ca="1" si="31"/>
        <v>577</v>
      </c>
      <c r="C681" t="s">
        <v>40</v>
      </c>
    </row>
    <row r="682" spans="1:3" x14ac:dyDescent="0.25">
      <c r="A682" s="71">
        <f t="shared" si="30"/>
        <v>65026</v>
      </c>
      <c r="B682">
        <f t="shared" ca="1" si="31"/>
        <v>577</v>
      </c>
      <c r="C682" t="s">
        <v>40</v>
      </c>
    </row>
    <row r="683" spans="1:3" x14ac:dyDescent="0.25">
      <c r="A683" s="71">
        <f t="shared" si="30"/>
        <v>65056</v>
      </c>
      <c r="B683">
        <f t="shared" ca="1" si="31"/>
        <v>577</v>
      </c>
      <c r="C683" t="s">
        <v>40</v>
      </c>
    </row>
    <row r="684" spans="1:3" x14ac:dyDescent="0.25">
      <c r="A684" s="71">
        <f t="shared" si="30"/>
        <v>65086</v>
      </c>
      <c r="B684">
        <f t="shared" ca="1" si="31"/>
        <v>577</v>
      </c>
      <c r="C684" t="s">
        <v>40</v>
      </c>
    </row>
    <row r="685" spans="1:3" x14ac:dyDescent="0.25">
      <c r="A685" s="71">
        <f t="shared" si="30"/>
        <v>65116</v>
      </c>
      <c r="B685">
        <f t="shared" ca="1" si="31"/>
        <v>577</v>
      </c>
      <c r="C685" t="s">
        <v>40</v>
      </c>
    </row>
    <row r="686" spans="1:3" x14ac:dyDescent="0.25">
      <c r="A686" s="71">
        <f t="shared" si="30"/>
        <v>65146</v>
      </c>
      <c r="B686">
        <f t="shared" ca="1" si="31"/>
        <v>577</v>
      </c>
      <c r="C686" t="s">
        <v>40</v>
      </c>
    </row>
    <row r="687" spans="1:3" x14ac:dyDescent="0.25">
      <c r="A687" s="71">
        <f t="shared" si="30"/>
        <v>65176</v>
      </c>
      <c r="B687">
        <f t="shared" ca="1" si="31"/>
        <v>577</v>
      </c>
      <c r="C687" t="s">
        <v>40</v>
      </c>
    </row>
    <row r="688" spans="1:3" x14ac:dyDescent="0.25">
      <c r="A688" s="71">
        <f t="shared" si="30"/>
        <v>65206</v>
      </c>
      <c r="B688">
        <f t="shared" ca="1" si="31"/>
        <v>577</v>
      </c>
      <c r="C688" t="s">
        <v>40</v>
      </c>
    </row>
    <row r="689" spans="1:3" x14ac:dyDescent="0.25">
      <c r="A689" s="71">
        <f t="shared" si="30"/>
        <v>65236</v>
      </c>
      <c r="B689">
        <f t="shared" ca="1" si="31"/>
        <v>577</v>
      </c>
      <c r="C689" t="s">
        <v>40</v>
      </c>
    </row>
    <row r="690" spans="1:3" x14ac:dyDescent="0.25">
      <c r="A690" s="71">
        <f t="shared" si="30"/>
        <v>65266</v>
      </c>
      <c r="B690">
        <f t="shared" ca="1" si="31"/>
        <v>577</v>
      </c>
      <c r="C690" t="s">
        <v>40</v>
      </c>
    </row>
    <row r="691" spans="1:3" x14ac:dyDescent="0.25">
      <c r="A691" s="71">
        <f t="shared" si="30"/>
        <v>65296</v>
      </c>
      <c r="B691">
        <f t="shared" ca="1" si="31"/>
        <v>577</v>
      </c>
      <c r="C691" t="s">
        <v>40</v>
      </c>
    </row>
    <row r="692" spans="1:3" x14ac:dyDescent="0.25">
      <c r="A692" s="71">
        <f t="shared" si="30"/>
        <v>65326</v>
      </c>
      <c r="B692">
        <f t="shared" ca="1" si="31"/>
        <v>577</v>
      </c>
      <c r="C692" t="s">
        <v>40</v>
      </c>
    </row>
    <row r="693" spans="1:3" x14ac:dyDescent="0.25">
      <c r="A693" s="71">
        <f t="shared" si="30"/>
        <v>65356</v>
      </c>
      <c r="B693">
        <f t="shared" ca="1" si="31"/>
        <v>577</v>
      </c>
      <c r="C693" t="s">
        <v>40</v>
      </c>
    </row>
    <row r="694" spans="1:3" x14ac:dyDescent="0.25">
      <c r="A694" s="71">
        <f t="shared" si="30"/>
        <v>65386</v>
      </c>
      <c r="B694">
        <f t="shared" ca="1" si="31"/>
        <v>577</v>
      </c>
      <c r="C694" t="s">
        <v>40</v>
      </c>
    </row>
    <row r="695" spans="1:3" x14ac:dyDescent="0.25">
      <c r="A695" s="71">
        <f t="shared" si="30"/>
        <v>65416</v>
      </c>
      <c r="B695">
        <f t="shared" ca="1" si="31"/>
        <v>577</v>
      </c>
      <c r="C695" t="s">
        <v>40</v>
      </c>
    </row>
    <row r="696" spans="1:3" x14ac:dyDescent="0.25">
      <c r="A696" s="71">
        <f t="shared" si="30"/>
        <v>65446</v>
      </c>
      <c r="B696">
        <f t="shared" ca="1" si="31"/>
        <v>577</v>
      </c>
      <c r="C696" t="s">
        <v>40</v>
      </c>
    </row>
    <row r="697" spans="1:3" x14ac:dyDescent="0.25">
      <c r="A697" s="71">
        <f t="shared" si="30"/>
        <v>65476</v>
      </c>
      <c r="B697">
        <f t="shared" ca="1" si="31"/>
        <v>577</v>
      </c>
      <c r="C697" t="s">
        <v>40</v>
      </c>
    </row>
    <row r="698" spans="1:3" x14ac:dyDescent="0.25">
      <c r="A698" s="71">
        <f t="shared" si="30"/>
        <v>65506</v>
      </c>
      <c r="B698">
        <f t="shared" ca="1" si="31"/>
        <v>577</v>
      </c>
      <c r="C698" t="s">
        <v>40</v>
      </c>
    </row>
    <row r="699" spans="1:3" x14ac:dyDescent="0.25">
      <c r="A699" s="71">
        <f t="shared" si="30"/>
        <v>65536</v>
      </c>
      <c r="B699">
        <f t="shared" ca="1" si="31"/>
        <v>577</v>
      </c>
      <c r="C699" t="s">
        <v>40</v>
      </c>
    </row>
    <row r="700" spans="1:3" x14ac:dyDescent="0.25">
      <c r="A700" s="71">
        <f t="shared" si="30"/>
        <v>65566</v>
      </c>
      <c r="B700">
        <f t="shared" ca="1" si="31"/>
        <v>577</v>
      </c>
      <c r="C700" t="s">
        <v>40</v>
      </c>
    </row>
    <row r="701" spans="1:3" x14ac:dyDescent="0.25">
      <c r="A701" s="71">
        <f t="shared" si="30"/>
        <v>65596</v>
      </c>
      <c r="B701">
        <f t="shared" ca="1" si="31"/>
        <v>577</v>
      </c>
      <c r="C701" t="s">
        <v>40</v>
      </c>
    </row>
    <row r="702" spans="1:3" x14ac:dyDescent="0.25">
      <c r="A702" s="71">
        <f t="shared" si="30"/>
        <v>65626</v>
      </c>
      <c r="B702">
        <f t="shared" ca="1" si="31"/>
        <v>577</v>
      </c>
      <c r="C702" t="s">
        <v>40</v>
      </c>
    </row>
    <row r="703" spans="1:3" x14ac:dyDescent="0.25">
      <c r="A703" s="71">
        <f t="shared" si="30"/>
        <v>65656</v>
      </c>
      <c r="B703">
        <f t="shared" ca="1" si="31"/>
        <v>577</v>
      </c>
      <c r="C703" t="s">
        <v>40</v>
      </c>
    </row>
    <row r="704" spans="1:3" x14ac:dyDescent="0.25">
      <c r="A704" s="71">
        <f t="shared" si="30"/>
        <v>65686</v>
      </c>
      <c r="B704">
        <f t="shared" ca="1" si="31"/>
        <v>577</v>
      </c>
      <c r="C704" t="s">
        <v>40</v>
      </c>
    </row>
    <row r="705" spans="1:3" x14ac:dyDescent="0.25">
      <c r="A705" s="71">
        <f t="shared" si="30"/>
        <v>65716</v>
      </c>
      <c r="B705">
        <f t="shared" ca="1" si="31"/>
        <v>577</v>
      </c>
      <c r="C705" t="s">
        <v>40</v>
      </c>
    </row>
    <row r="706" spans="1:3" x14ac:dyDescent="0.25">
      <c r="A706" s="71">
        <f t="shared" si="30"/>
        <v>65746</v>
      </c>
      <c r="B706">
        <f t="shared" ca="1" si="31"/>
        <v>577</v>
      </c>
      <c r="C706" t="s">
        <v>40</v>
      </c>
    </row>
    <row r="707" spans="1:3" x14ac:dyDescent="0.25">
      <c r="A707" s="71">
        <f t="shared" si="30"/>
        <v>65776</v>
      </c>
      <c r="B707">
        <f t="shared" ca="1" si="31"/>
        <v>577</v>
      </c>
      <c r="C707" t="s">
        <v>40</v>
      </c>
    </row>
    <row r="708" spans="1:3" x14ac:dyDescent="0.25">
      <c r="A708" s="71">
        <f t="shared" si="30"/>
        <v>65806</v>
      </c>
      <c r="B708">
        <f t="shared" ca="1" si="31"/>
        <v>577</v>
      </c>
      <c r="C708" t="s">
        <v>40</v>
      </c>
    </row>
    <row r="709" spans="1:3" x14ac:dyDescent="0.25">
      <c r="A709" s="71">
        <f t="shared" si="30"/>
        <v>65836</v>
      </c>
      <c r="B709">
        <f t="shared" ca="1" si="31"/>
        <v>577</v>
      </c>
      <c r="C709" t="s">
        <v>40</v>
      </c>
    </row>
    <row r="710" spans="1:3" x14ac:dyDescent="0.25">
      <c r="A710" s="71">
        <f t="shared" si="30"/>
        <v>65866</v>
      </c>
      <c r="B710">
        <f t="shared" ca="1" si="31"/>
        <v>577</v>
      </c>
      <c r="C710" t="s">
        <v>40</v>
      </c>
    </row>
    <row r="711" spans="1:3" x14ac:dyDescent="0.25">
      <c r="A711" s="71">
        <f t="shared" si="30"/>
        <v>65896</v>
      </c>
      <c r="B711">
        <f t="shared" ca="1" si="31"/>
        <v>577</v>
      </c>
      <c r="C711" t="s">
        <v>40</v>
      </c>
    </row>
    <row r="712" spans="1:3" x14ac:dyDescent="0.25">
      <c r="A712" s="71">
        <f t="shared" si="30"/>
        <v>65926</v>
      </c>
      <c r="B712">
        <f t="shared" ca="1" si="31"/>
        <v>577</v>
      </c>
      <c r="C712" t="s">
        <v>40</v>
      </c>
    </row>
    <row r="713" spans="1:3" x14ac:dyDescent="0.25">
      <c r="A713" s="71">
        <f t="shared" si="30"/>
        <v>65956</v>
      </c>
      <c r="B713">
        <f t="shared" ca="1" si="31"/>
        <v>577</v>
      </c>
      <c r="C713" t="s">
        <v>40</v>
      </c>
    </row>
    <row r="714" spans="1:3" x14ac:dyDescent="0.25">
      <c r="A714" s="71">
        <f t="shared" si="30"/>
        <v>65986</v>
      </c>
      <c r="B714">
        <f t="shared" ca="1" si="31"/>
        <v>577</v>
      </c>
      <c r="C714" t="s">
        <v>40</v>
      </c>
    </row>
    <row r="715" spans="1:3" x14ac:dyDescent="0.25">
      <c r="A715" s="71">
        <f t="shared" si="30"/>
        <v>66016</v>
      </c>
      <c r="B715">
        <f t="shared" ca="1" si="31"/>
        <v>577</v>
      </c>
      <c r="C715" t="s">
        <v>40</v>
      </c>
    </row>
    <row r="716" spans="1:3" x14ac:dyDescent="0.25">
      <c r="A716" s="71">
        <f t="shared" ref="A716:A779" si="32">A715+30</f>
        <v>66046</v>
      </c>
      <c r="B716">
        <f t="shared" ref="B716:B779" ca="1" si="33">B715</f>
        <v>577</v>
      </c>
      <c r="C716" t="s">
        <v>40</v>
      </c>
    </row>
    <row r="717" spans="1:3" x14ac:dyDescent="0.25">
      <c r="A717" s="71">
        <f t="shared" si="32"/>
        <v>66076</v>
      </c>
      <c r="B717">
        <f t="shared" ca="1" si="33"/>
        <v>577</v>
      </c>
      <c r="C717" t="s">
        <v>40</v>
      </c>
    </row>
    <row r="718" spans="1:3" x14ac:dyDescent="0.25">
      <c r="A718" s="71">
        <f t="shared" si="32"/>
        <v>66106</v>
      </c>
      <c r="B718">
        <f t="shared" ca="1" si="33"/>
        <v>577</v>
      </c>
      <c r="C718" t="s">
        <v>40</v>
      </c>
    </row>
    <row r="719" spans="1:3" x14ac:dyDescent="0.25">
      <c r="A719" s="71">
        <f t="shared" si="32"/>
        <v>66136</v>
      </c>
      <c r="B719">
        <f t="shared" ca="1" si="33"/>
        <v>577</v>
      </c>
      <c r="C719" t="s">
        <v>40</v>
      </c>
    </row>
    <row r="720" spans="1:3" x14ac:dyDescent="0.25">
      <c r="A720" s="71">
        <f t="shared" si="32"/>
        <v>66166</v>
      </c>
      <c r="B720">
        <f t="shared" ca="1" si="33"/>
        <v>577</v>
      </c>
      <c r="C720" t="s">
        <v>40</v>
      </c>
    </row>
    <row r="721" spans="1:3" x14ac:dyDescent="0.25">
      <c r="A721" s="71">
        <f t="shared" si="32"/>
        <v>66196</v>
      </c>
      <c r="B721">
        <f t="shared" ca="1" si="33"/>
        <v>577</v>
      </c>
      <c r="C721" t="s">
        <v>40</v>
      </c>
    </row>
    <row r="722" spans="1:3" x14ac:dyDescent="0.25">
      <c r="A722" s="71">
        <f t="shared" si="32"/>
        <v>66226</v>
      </c>
      <c r="B722">
        <f t="shared" ca="1" si="33"/>
        <v>577</v>
      </c>
      <c r="C722" t="s">
        <v>40</v>
      </c>
    </row>
    <row r="723" spans="1:3" x14ac:dyDescent="0.25">
      <c r="A723" s="71">
        <f t="shared" si="32"/>
        <v>66256</v>
      </c>
      <c r="B723">
        <f t="shared" ca="1" si="33"/>
        <v>577</v>
      </c>
      <c r="C723" t="s">
        <v>40</v>
      </c>
    </row>
    <row r="724" spans="1:3" x14ac:dyDescent="0.25">
      <c r="A724" s="71">
        <f t="shared" si="32"/>
        <v>66286</v>
      </c>
      <c r="B724">
        <f t="shared" ca="1" si="33"/>
        <v>577</v>
      </c>
      <c r="C724" t="s">
        <v>40</v>
      </c>
    </row>
    <row r="725" spans="1:3" x14ac:dyDescent="0.25">
      <c r="A725" s="71">
        <f t="shared" si="32"/>
        <v>66316</v>
      </c>
      <c r="B725">
        <f t="shared" ca="1" si="33"/>
        <v>577</v>
      </c>
      <c r="C725" t="s">
        <v>40</v>
      </c>
    </row>
    <row r="726" spans="1:3" x14ac:dyDescent="0.25">
      <c r="A726" s="71">
        <f t="shared" si="32"/>
        <v>66346</v>
      </c>
      <c r="B726">
        <f t="shared" ca="1" si="33"/>
        <v>577</v>
      </c>
      <c r="C726" t="s">
        <v>40</v>
      </c>
    </row>
    <row r="727" spans="1:3" x14ac:dyDescent="0.25">
      <c r="A727" s="71">
        <f t="shared" si="32"/>
        <v>66376</v>
      </c>
      <c r="B727">
        <f t="shared" ca="1" si="33"/>
        <v>577</v>
      </c>
      <c r="C727" t="s">
        <v>40</v>
      </c>
    </row>
    <row r="728" spans="1:3" x14ac:dyDescent="0.25">
      <c r="A728" s="71">
        <f t="shared" si="32"/>
        <v>66406</v>
      </c>
      <c r="B728">
        <f t="shared" ca="1" si="33"/>
        <v>577</v>
      </c>
      <c r="C728" t="s">
        <v>40</v>
      </c>
    </row>
    <row r="729" spans="1:3" x14ac:dyDescent="0.25">
      <c r="A729" s="71">
        <f t="shared" si="32"/>
        <v>66436</v>
      </c>
      <c r="B729">
        <f t="shared" ca="1" si="33"/>
        <v>577</v>
      </c>
      <c r="C729" t="s">
        <v>40</v>
      </c>
    </row>
    <row r="730" spans="1:3" x14ac:dyDescent="0.25">
      <c r="A730" s="71">
        <f t="shared" si="32"/>
        <v>66466</v>
      </c>
      <c r="B730">
        <f t="shared" ca="1" si="33"/>
        <v>577</v>
      </c>
      <c r="C730" t="s">
        <v>40</v>
      </c>
    </row>
    <row r="731" spans="1:3" x14ac:dyDescent="0.25">
      <c r="A731" s="71">
        <f t="shared" si="32"/>
        <v>66496</v>
      </c>
      <c r="B731">
        <f t="shared" ca="1" si="33"/>
        <v>577</v>
      </c>
      <c r="C731" t="s">
        <v>40</v>
      </c>
    </row>
    <row r="732" spans="1:3" x14ac:dyDescent="0.25">
      <c r="A732" s="71">
        <f t="shared" si="32"/>
        <v>66526</v>
      </c>
      <c r="B732">
        <f t="shared" ca="1" si="33"/>
        <v>577</v>
      </c>
      <c r="C732" t="s">
        <v>40</v>
      </c>
    </row>
    <row r="733" spans="1:3" x14ac:dyDescent="0.25">
      <c r="A733" s="71">
        <f t="shared" si="32"/>
        <v>66556</v>
      </c>
      <c r="B733">
        <f t="shared" ca="1" si="33"/>
        <v>577</v>
      </c>
      <c r="C733" t="s">
        <v>40</v>
      </c>
    </row>
    <row r="734" spans="1:3" x14ac:dyDescent="0.25">
      <c r="A734" s="71">
        <f t="shared" si="32"/>
        <v>66586</v>
      </c>
      <c r="B734">
        <f t="shared" ca="1" si="33"/>
        <v>577</v>
      </c>
      <c r="C734" t="s">
        <v>40</v>
      </c>
    </row>
    <row r="735" spans="1:3" x14ac:dyDescent="0.25">
      <c r="A735" s="71">
        <f t="shared" si="32"/>
        <v>66616</v>
      </c>
      <c r="B735">
        <f t="shared" ca="1" si="33"/>
        <v>577</v>
      </c>
      <c r="C735" t="s">
        <v>40</v>
      </c>
    </row>
    <row r="736" spans="1:3" x14ac:dyDescent="0.25">
      <c r="A736" s="71">
        <f t="shared" si="32"/>
        <v>66646</v>
      </c>
      <c r="B736">
        <f t="shared" ca="1" si="33"/>
        <v>577</v>
      </c>
      <c r="C736" t="s">
        <v>40</v>
      </c>
    </row>
    <row r="737" spans="1:3" x14ac:dyDescent="0.25">
      <c r="A737" s="71">
        <f t="shared" si="32"/>
        <v>66676</v>
      </c>
      <c r="B737">
        <f t="shared" ca="1" si="33"/>
        <v>577</v>
      </c>
      <c r="C737" t="s">
        <v>40</v>
      </c>
    </row>
    <row r="738" spans="1:3" x14ac:dyDescent="0.25">
      <c r="A738" s="71">
        <f t="shared" si="32"/>
        <v>66706</v>
      </c>
      <c r="B738">
        <f t="shared" ca="1" si="33"/>
        <v>577</v>
      </c>
      <c r="C738" t="s">
        <v>40</v>
      </c>
    </row>
    <row r="739" spans="1:3" x14ac:dyDescent="0.25">
      <c r="A739" s="71">
        <f t="shared" si="32"/>
        <v>66736</v>
      </c>
      <c r="B739">
        <f t="shared" ca="1" si="33"/>
        <v>577</v>
      </c>
      <c r="C739" t="s">
        <v>40</v>
      </c>
    </row>
    <row r="740" spans="1:3" x14ac:dyDescent="0.25">
      <c r="A740" s="71">
        <f t="shared" si="32"/>
        <v>66766</v>
      </c>
      <c r="B740">
        <f t="shared" ca="1" si="33"/>
        <v>577</v>
      </c>
      <c r="C740" t="s">
        <v>40</v>
      </c>
    </row>
    <row r="741" spans="1:3" x14ac:dyDescent="0.25">
      <c r="A741" s="71">
        <f t="shared" si="32"/>
        <v>66796</v>
      </c>
      <c r="B741">
        <f t="shared" ca="1" si="33"/>
        <v>577</v>
      </c>
      <c r="C741" t="s">
        <v>40</v>
      </c>
    </row>
    <row r="742" spans="1:3" x14ac:dyDescent="0.25">
      <c r="A742" s="71">
        <f t="shared" si="32"/>
        <v>66826</v>
      </c>
      <c r="B742">
        <f t="shared" ca="1" si="33"/>
        <v>577</v>
      </c>
      <c r="C742" t="s">
        <v>40</v>
      </c>
    </row>
    <row r="743" spans="1:3" x14ac:dyDescent="0.25">
      <c r="A743" s="71">
        <f t="shared" si="32"/>
        <v>66856</v>
      </c>
      <c r="B743">
        <f t="shared" ca="1" si="33"/>
        <v>577</v>
      </c>
      <c r="C743" t="s">
        <v>40</v>
      </c>
    </row>
    <row r="744" spans="1:3" x14ac:dyDescent="0.25">
      <c r="A744" s="71">
        <f t="shared" si="32"/>
        <v>66886</v>
      </c>
      <c r="B744">
        <f t="shared" ca="1" si="33"/>
        <v>577</v>
      </c>
      <c r="C744" t="s">
        <v>40</v>
      </c>
    </row>
    <row r="745" spans="1:3" x14ac:dyDescent="0.25">
      <c r="A745" s="71">
        <f t="shared" si="32"/>
        <v>66916</v>
      </c>
      <c r="B745">
        <f t="shared" ca="1" si="33"/>
        <v>577</v>
      </c>
      <c r="C745" t="s">
        <v>40</v>
      </c>
    </row>
    <row r="746" spans="1:3" x14ac:dyDescent="0.25">
      <c r="A746" s="71">
        <f t="shared" si="32"/>
        <v>66946</v>
      </c>
      <c r="B746">
        <f t="shared" ca="1" si="33"/>
        <v>577</v>
      </c>
      <c r="C746" t="s">
        <v>40</v>
      </c>
    </row>
    <row r="747" spans="1:3" x14ac:dyDescent="0.25">
      <c r="A747" s="71">
        <f t="shared" si="32"/>
        <v>66976</v>
      </c>
      <c r="B747">
        <f t="shared" ca="1" si="33"/>
        <v>577</v>
      </c>
      <c r="C747" t="s">
        <v>40</v>
      </c>
    </row>
    <row r="748" spans="1:3" x14ac:dyDescent="0.25">
      <c r="A748" s="71">
        <f t="shared" si="32"/>
        <v>67006</v>
      </c>
      <c r="B748">
        <f t="shared" ca="1" si="33"/>
        <v>577</v>
      </c>
      <c r="C748" t="s">
        <v>40</v>
      </c>
    </row>
    <row r="749" spans="1:3" x14ac:dyDescent="0.25">
      <c r="A749" s="71">
        <f t="shared" si="32"/>
        <v>67036</v>
      </c>
      <c r="B749">
        <f t="shared" ca="1" si="33"/>
        <v>577</v>
      </c>
      <c r="C749" t="s">
        <v>40</v>
      </c>
    </row>
    <row r="750" spans="1:3" x14ac:dyDescent="0.25">
      <c r="A750" s="71">
        <f t="shared" si="32"/>
        <v>67066</v>
      </c>
      <c r="B750">
        <f t="shared" ca="1" si="33"/>
        <v>577</v>
      </c>
      <c r="C750" t="s">
        <v>40</v>
      </c>
    </row>
    <row r="751" spans="1:3" x14ac:dyDescent="0.25">
      <c r="A751" s="71">
        <f t="shared" si="32"/>
        <v>67096</v>
      </c>
      <c r="B751">
        <f t="shared" ca="1" si="33"/>
        <v>577</v>
      </c>
      <c r="C751" t="s">
        <v>40</v>
      </c>
    </row>
    <row r="752" spans="1:3" x14ac:dyDescent="0.25">
      <c r="A752" s="71">
        <f t="shared" si="32"/>
        <v>67126</v>
      </c>
      <c r="B752">
        <f t="shared" ca="1" si="33"/>
        <v>577</v>
      </c>
      <c r="C752" t="s">
        <v>40</v>
      </c>
    </row>
    <row r="753" spans="1:3" x14ac:dyDescent="0.25">
      <c r="A753" s="71">
        <f t="shared" si="32"/>
        <v>67156</v>
      </c>
      <c r="B753">
        <f t="shared" ca="1" si="33"/>
        <v>577</v>
      </c>
      <c r="C753" t="s">
        <v>40</v>
      </c>
    </row>
    <row r="754" spans="1:3" x14ac:dyDescent="0.25">
      <c r="A754" s="71">
        <f t="shared" si="32"/>
        <v>67186</v>
      </c>
      <c r="B754">
        <f t="shared" ca="1" si="33"/>
        <v>577</v>
      </c>
      <c r="C754" t="s">
        <v>40</v>
      </c>
    </row>
    <row r="755" spans="1:3" x14ac:dyDescent="0.25">
      <c r="A755" s="71">
        <f t="shared" si="32"/>
        <v>67216</v>
      </c>
      <c r="B755">
        <f t="shared" ca="1" si="33"/>
        <v>577</v>
      </c>
      <c r="C755" t="s">
        <v>40</v>
      </c>
    </row>
    <row r="756" spans="1:3" x14ac:dyDescent="0.25">
      <c r="A756" s="71">
        <f t="shared" si="32"/>
        <v>67246</v>
      </c>
      <c r="B756">
        <f t="shared" ca="1" si="33"/>
        <v>577</v>
      </c>
      <c r="C756" t="s">
        <v>40</v>
      </c>
    </row>
    <row r="757" spans="1:3" x14ac:dyDescent="0.25">
      <c r="A757" s="71">
        <f t="shared" si="32"/>
        <v>67276</v>
      </c>
      <c r="B757">
        <f t="shared" ca="1" si="33"/>
        <v>577</v>
      </c>
      <c r="C757" t="s">
        <v>40</v>
      </c>
    </row>
    <row r="758" spans="1:3" x14ac:dyDescent="0.25">
      <c r="A758" s="71">
        <f t="shared" si="32"/>
        <v>67306</v>
      </c>
      <c r="B758">
        <f t="shared" ca="1" si="33"/>
        <v>577</v>
      </c>
      <c r="C758" t="s">
        <v>40</v>
      </c>
    </row>
    <row r="759" spans="1:3" x14ac:dyDescent="0.25">
      <c r="A759" s="71">
        <f t="shared" si="32"/>
        <v>67336</v>
      </c>
      <c r="B759">
        <f t="shared" ca="1" si="33"/>
        <v>577</v>
      </c>
      <c r="C759" t="s">
        <v>40</v>
      </c>
    </row>
    <row r="760" spans="1:3" x14ac:dyDescent="0.25">
      <c r="A760" s="71">
        <f t="shared" si="32"/>
        <v>67366</v>
      </c>
      <c r="B760">
        <f t="shared" ca="1" si="33"/>
        <v>577</v>
      </c>
      <c r="C760" t="s">
        <v>40</v>
      </c>
    </row>
    <row r="761" spans="1:3" x14ac:dyDescent="0.25">
      <c r="A761" s="71">
        <f t="shared" si="32"/>
        <v>67396</v>
      </c>
      <c r="B761">
        <f t="shared" ca="1" si="33"/>
        <v>577</v>
      </c>
      <c r="C761" t="s">
        <v>40</v>
      </c>
    </row>
    <row r="762" spans="1:3" x14ac:dyDescent="0.25">
      <c r="A762" s="71">
        <f t="shared" si="32"/>
        <v>67426</v>
      </c>
      <c r="B762">
        <f t="shared" ca="1" si="33"/>
        <v>577</v>
      </c>
      <c r="C762" t="s">
        <v>40</v>
      </c>
    </row>
    <row r="763" spans="1:3" x14ac:dyDescent="0.25">
      <c r="A763" s="71">
        <f t="shared" si="32"/>
        <v>67456</v>
      </c>
      <c r="B763">
        <f t="shared" ca="1" si="33"/>
        <v>577</v>
      </c>
      <c r="C763" t="s">
        <v>40</v>
      </c>
    </row>
    <row r="764" spans="1:3" x14ac:dyDescent="0.25">
      <c r="A764" s="71">
        <f t="shared" si="32"/>
        <v>67486</v>
      </c>
      <c r="B764">
        <f t="shared" ca="1" si="33"/>
        <v>577</v>
      </c>
      <c r="C764" t="s">
        <v>40</v>
      </c>
    </row>
    <row r="765" spans="1:3" x14ac:dyDescent="0.25">
      <c r="A765" s="71">
        <f t="shared" si="32"/>
        <v>67516</v>
      </c>
      <c r="B765">
        <f t="shared" ca="1" si="33"/>
        <v>577</v>
      </c>
      <c r="C765" t="s">
        <v>40</v>
      </c>
    </row>
    <row r="766" spans="1:3" x14ac:dyDescent="0.25">
      <c r="A766" s="71">
        <f t="shared" si="32"/>
        <v>67546</v>
      </c>
      <c r="B766">
        <f t="shared" ca="1" si="33"/>
        <v>577</v>
      </c>
      <c r="C766" t="s">
        <v>40</v>
      </c>
    </row>
    <row r="767" spans="1:3" x14ac:dyDescent="0.25">
      <c r="A767" s="71">
        <f t="shared" si="32"/>
        <v>67576</v>
      </c>
      <c r="B767">
        <f t="shared" ca="1" si="33"/>
        <v>577</v>
      </c>
      <c r="C767" t="s">
        <v>40</v>
      </c>
    </row>
    <row r="768" spans="1:3" x14ac:dyDescent="0.25">
      <c r="A768" s="71">
        <f t="shared" si="32"/>
        <v>67606</v>
      </c>
      <c r="B768">
        <f t="shared" ca="1" si="33"/>
        <v>577</v>
      </c>
      <c r="C768" t="s">
        <v>40</v>
      </c>
    </row>
    <row r="769" spans="1:3" x14ac:dyDescent="0.25">
      <c r="A769" s="71">
        <f t="shared" si="32"/>
        <v>67636</v>
      </c>
      <c r="B769">
        <f t="shared" ca="1" si="33"/>
        <v>577</v>
      </c>
      <c r="C769" t="s">
        <v>40</v>
      </c>
    </row>
    <row r="770" spans="1:3" x14ac:dyDescent="0.25">
      <c r="A770" s="71">
        <f t="shared" si="32"/>
        <v>67666</v>
      </c>
      <c r="B770">
        <f t="shared" ca="1" si="33"/>
        <v>577</v>
      </c>
      <c r="C770" t="s">
        <v>40</v>
      </c>
    </row>
    <row r="771" spans="1:3" x14ac:dyDescent="0.25">
      <c r="A771" s="71">
        <f t="shared" si="32"/>
        <v>67696</v>
      </c>
      <c r="B771">
        <f t="shared" ca="1" si="33"/>
        <v>577</v>
      </c>
      <c r="C771" t="s">
        <v>40</v>
      </c>
    </row>
    <row r="772" spans="1:3" x14ac:dyDescent="0.25">
      <c r="A772" s="71">
        <f t="shared" si="32"/>
        <v>67726</v>
      </c>
      <c r="B772">
        <f t="shared" ca="1" si="33"/>
        <v>577</v>
      </c>
      <c r="C772" t="s">
        <v>40</v>
      </c>
    </row>
    <row r="773" spans="1:3" x14ac:dyDescent="0.25">
      <c r="A773" s="71">
        <f t="shared" si="32"/>
        <v>67756</v>
      </c>
      <c r="B773">
        <f t="shared" ca="1" si="33"/>
        <v>577</v>
      </c>
      <c r="C773" t="s">
        <v>40</v>
      </c>
    </row>
    <row r="774" spans="1:3" x14ac:dyDescent="0.25">
      <c r="A774" s="71">
        <f t="shared" si="32"/>
        <v>67786</v>
      </c>
      <c r="B774">
        <f t="shared" ca="1" si="33"/>
        <v>577</v>
      </c>
      <c r="C774" t="s">
        <v>40</v>
      </c>
    </row>
    <row r="775" spans="1:3" x14ac:dyDescent="0.25">
      <c r="A775" s="71">
        <f t="shared" si="32"/>
        <v>67816</v>
      </c>
      <c r="B775">
        <f t="shared" ca="1" si="33"/>
        <v>577</v>
      </c>
      <c r="C775" t="s">
        <v>40</v>
      </c>
    </row>
    <row r="776" spans="1:3" x14ac:dyDescent="0.25">
      <c r="A776" s="71">
        <f t="shared" si="32"/>
        <v>67846</v>
      </c>
      <c r="B776">
        <f t="shared" ca="1" si="33"/>
        <v>577</v>
      </c>
      <c r="C776" t="s">
        <v>40</v>
      </c>
    </row>
    <row r="777" spans="1:3" x14ac:dyDescent="0.25">
      <c r="A777" s="71">
        <f t="shared" si="32"/>
        <v>67876</v>
      </c>
      <c r="B777">
        <f t="shared" ca="1" si="33"/>
        <v>577</v>
      </c>
      <c r="C777" t="s">
        <v>40</v>
      </c>
    </row>
    <row r="778" spans="1:3" x14ac:dyDescent="0.25">
      <c r="A778" s="71">
        <f t="shared" si="32"/>
        <v>67906</v>
      </c>
      <c r="B778">
        <f t="shared" ca="1" si="33"/>
        <v>577</v>
      </c>
      <c r="C778" t="s">
        <v>40</v>
      </c>
    </row>
    <row r="779" spans="1:3" x14ac:dyDescent="0.25">
      <c r="A779" s="71">
        <f t="shared" si="32"/>
        <v>67936</v>
      </c>
      <c r="B779">
        <f t="shared" ca="1" si="33"/>
        <v>577</v>
      </c>
      <c r="C779" t="s">
        <v>40</v>
      </c>
    </row>
    <row r="780" spans="1:3" x14ac:dyDescent="0.25">
      <c r="A780" s="71">
        <f t="shared" ref="A780:A843" si="34">A779+30</f>
        <v>67966</v>
      </c>
      <c r="B780">
        <f t="shared" ref="B780:B843" ca="1" si="35">B779</f>
        <v>577</v>
      </c>
      <c r="C780" t="s">
        <v>40</v>
      </c>
    </row>
    <row r="781" spans="1:3" x14ac:dyDescent="0.25">
      <c r="A781" s="71">
        <f t="shared" si="34"/>
        <v>67996</v>
      </c>
      <c r="B781">
        <f t="shared" ca="1" si="35"/>
        <v>577</v>
      </c>
      <c r="C781" t="s">
        <v>40</v>
      </c>
    </row>
    <row r="782" spans="1:3" x14ac:dyDescent="0.25">
      <c r="A782" s="71">
        <f t="shared" si="34"/>
        <v>68026</v>
      </c>
      <c r="B782">
        <f t="shared" ca="1" si="35"/>
        <v>577</v>
      </c>
      <c r="C782" t="s">
        <v>40</v>
      </c>
    </row>
    <row r="783" spans="1:3" x14ac:dyDescent="0.25">
      <c r="A783" s="71">
        <f t="shared" si="34"/>
        <v>68056</v>
      </c>
      <c r="B783">
        <f t="shared" ca="1" si="35"/>
        <v>577</v>
      </c>
      <c r="C783" t="s">
        <v>40</v>
      </c>
    </row>
    <row r="784" spans="1:3" x14ac:dyDescent="0.25">
      <c r="A784" s="71">
        <f t="shared" si="34"/>
        <v>68086</v>
      </c>
      <c r="B784">
        <f t="shared" ca="1" si="35"/>
        <v>577</v>
      </c>
      <c r="C784" t="s">
        <v>40</v>
      </c>
    </row>
    <row r="785" spans="1:3" x14ac:dyDescent="0.25">
      <c r="A785" s="71">
        <f t="shared" si="34"/>
        <v>68116</v>
      </c>
      <c r="B785">
        <f t="shared" ca="1" si="35"/>
        <v>577</v>
      </c>
      <c r="C785" t="s">
        <v>40</v>
      </c>
    </row>
    <row r="786" spans="1:3" x14ac:dyDescent="0.25">
      <c r="A786" s="71">
        <f t="shared" si="34"/>
        <v>68146</v>
      </c>
      <c r="B786">
        <f t="shared" ca="1" si="35"/>
        <v>577</v>
      </c>
      <c r="C786" t="s">
        <v>40</v>
      </c>
    </row>
    <row r="787" spans="1:3" x14ac:dyDescent="0.25">
      <c r="A787" s="71">
        <f t="shared" si="34"/>
        <v>68176</v>
      </c>
      <c r="B787">
        <f t="shared" ca="1" si="35"/>
        <v>577</v>
      </c>
      <c r="C787" t="s">
        <v>40</v>
      </c>
    </row>
    <row r="788" spans="1:3" x14ac:dyDescent="0.25">
      <c r="A788" s="71">
        <f t="shared" si="34"/>
        <v>68206</v>
      </c>
      <c r="B788">
        <f t="shared" ca="1" si="35"/>
        <v>577</v>
      </c>
      <c r="C788" t="s">
        <v>40</v>
      </c>
    </row>
    <row r="789" spans="1:3" x14ac:dyDescent="0.25">
      <c r="A789" s="71">
        <f t="shared" si="34"/>
        <v>68236</v>
      </c>
      <c r="B789">
        <f t="shared" ca="1" si="35"/>
        <v>577</v>
      </c>
      <c r="C789" t="s">
        <v>40</v>
      </c>
    </row>
    <row r="790" spans="1:3" x14ac:dyDescent="0.25">
      <c r="A790" s="71">
        <f t="shared" si="34"/>
        <v>68266</v>
      </c>
      <c r="B790">
        <f t="shared" ca="1" si="35"/>
        <v>577</v>
      </c>
      <c r="C790" t="s">
        <v>40</v>
      </c>
    </row>
    <row r="791" spans="1:3" x14ac:dyDescent="0.25">
      <c r="A791" s="71">
        <f t="shared" si="34"/>
        <v>68296</v>
      </c>
      <c r="B791">
        <f t="shared" ca="1" si="35"/>
        <v>577</v>
      </c>
      <c r="C791" t="s">
        <v>40</v>
      </c>
    </row>
    <row r="792" spans="1:3" x14ac:dyDescent="0.25">
      <c r="A792" s="71">
        <f t="shared" si="34"/>
        <v>68326</v>
      </c>
      <c r="B792">
        <f t="shared" ca="1" si="35"/>
        <v>577</v>
      </c>
      <c r="C792" t="s">
        <v>40</v>
      </c>
    </row>
    <row r="793" spans="1:3" x14ac:dyDescent="0.25">
      <c r="A793" s="71">
        <f t="shared" si="34"/>
        <v>68356</v>
      </c>
      <c r="B793">
        <f t="shared" ca="1" si="35"/>
        <v>577</v>
      </c>
      <c r="C793" t="s">
        <v>40</v>
      </c>
    </row>
    <row r="794" spans="1:3" x14ac:dyDescent="0.25">
      <c r="A794" s="71">
        <f t="shared" si="34"/>
        <v>68386</v>
      </c>
      <c r="B794">
        <f t="shared" ca="1" si="35"/>
        <v>577</v>
      </c>
      <c r="C794" t="s">
        <v>40</v>
      </c>
    </row>
    <row r="795" spans="1:3" x14ac:dyDescent="0.25">
      <c r="A795" s="71">
        <f t="shared" si="34"/>
        <v>68416</v>
      </c>
      <c r="B795">
        <f t="shared" ca="1" si="35"/>
        <v>577</v>
      </c>
      <c r="C795" t="s">
        <v>40</v>
      </c>
    </row>
    <row r="796" spans="1:3" x14ac:dyDescent="0.25">
      <c r="A796" s="71">
        <f t="shared" si="34"/>
        <v>68446</v>
      </c>
      <c r="B796">
        <f t="shared" ca="1" si="35"/>
        <v>577</v>
      </c>
      <c r="C796" t="s">
        <v>40</v>
      </c>
    </row>
    <row r="797" spans="1:3" x14ac:dyDescent="0.25">
      <c r="A797" s="71">
        <f t="shared" si="34"/>
        <v>68476</v>
      </c>
      <c r="B797">
        <f t="shared" ca="1" si="35"/>
        <v>577</v>
      </c>
      <c r="C797" t="s">
        <v>40</v>
      </c>
    </row>
    <row r="798" spans="1:3" x14ac:dyDescent="0.25">
      <c r="A798" s="71">
        <f t="shared" si="34"/>
        <v>68506</v>
      </c>
      <c r="B798">
        <f t="shared" ca="1" si="35"/>
        <v>577</v>
      </c>
      <c r="C798" t="s">
        <v>40</v>
      </c>
    </row>
    <row r="799" spans="1:3" x14ac:dyDescent="0.25">
      <c r="A799" s="71">
        <f t="shared" si="34"/>
        <v>68536</v>
      </c>
      <c r="B799">
        <f t="shared" ca="1" si="35"/>
        <v>577</v>
      </c>
      <c r="C799" t="s">
        <v>40</v>
      </c>
    </row>
    <row r="800" spans="1:3" x14ac:dyDescent="0.25">
      <c r="A800" s="71">
        <f t="shared" si="34"/>
        <v>68566</v>
      </c>
      <c r="B800">
        <f t="shared" ca="1" si="35"/>
        <v>577</v>
      </c>
      <c r="C800" t="s">
        <v>40</v>
      </c>
    </row>
    <row r="801" spans="1:3" x14ac:dyDescent="0.25">
      <c r="A801" s="71">
        <f t="shared" si="34"/>
        <v>68596</v>
      </c>
      <c r="B801">
        <f t="shared" ca="1" si="35"/>
        <v>577</v>
      </c>
      <c r="C801" t="s">
        <v>40</v>
      </c>
    </row>
    <row r="802" spans="1:3" x14ac:dyDescent="0.25">
      <c r="A802" s="71">
        <f t="shared" si="34"/>
        <v>68626</v>
      </c>
      <c r="B802">
        <f t="shared" ca="1" si="35"/>
        <v>577</v>
      </c>
      <c r="C802" t="s">
        <v>40</v>
      </c>
    </row>
    <row r="803" spans="1:3" x14ac:dyDescent="0.25">
      <c r="A803" s="71">
        <f t="shared" si="34"/>
        <v>68656</v>
      </c>
      <c r="B803">
        <f t="shared" ca="1" si="35"/>
        <v>577</v>
      </c>
      <c r="C803" t="s">
        <v>40</v>
      </c>
    </row>
    <row r="804" spans="1:3" x14ac:dyDescent="0.25">
      <c r="A804" s="71">
        <f t="shared" si="34"/>
        <v>68686</v>
      </c>
      <c r="B804">
        <f t="shared" ca="1" si="35"/>
        <v>577</v>
      </c>
      <c r="C804" t="s">
        <v>40</v>
      </c>
    </row>
    <row r="805" spans="1:3" x14ac:dyDescent="0.25">
      <c r="A805" s="71">
        <f t="shared" si="34"/>
        <v>68716</v>
      </c>
      <c r="B805">
        <f t="shared" ca="1" si="35"/>
        <v>577</v>
      </c>
      <c r="C805" t="s">
        <v>40</v>
      </c>
    </row>
    <row r="806" spans="1:3" x14ac:dyDescent="0.25">
      <c r="A806" s="71">
        <f t="shared" si="34"/>
        <v>68746</v>
      </c>
      <c r="B806">
        <f t="shared" ca="1" si="35"/>
        <v>577</v>
      </c>
      <c r="C806" t="s">
        <v>40</v>
      </c>
    </row>
    <row r="807" spans="1:3" x14ac:dyDescent="0.25">
      <c r="A807" s="71">
        <f t="shared" si="34"/>
        <v>68776</v>
      </c>
      <c r="B807">
        <f t="shared" ca="1" si="35"/>
        <v>577</v>
      </c>
      <c r="C807" t="s">
        <v>40</v>
      </c>
    </row>
    <row r="808" spans="1:3" x14ac:dyDescent="0.25">
      <c r="A808" s="71">
        <f t="shared" si="34"/>
        <v>68806</v>
      </c>
      <c r="B808">
        <f t="shared" ca="1" si="35"/>
        <v>577</v>
      </c>
      <c r="C808" t="s">
        <v>40</v>
      </c>
    </row>
    <row r="809" spans="1:3" x14ac:dyDescent="0.25">
      <c r="A809" s="71">
        <f t="shared" si="34"/>
        <v>68836</v>
      </c>
      <c r="B809">
        <f t="shared" ca="1" si="35"/>
        <v>577</v>
      </c>
      <c r="C809" t="s">
        <v>40</v>
      </c>
    </row>
    <row r="810" spans="1:3" x14ac:dyDescent="0.25">
      <c r="A810" s="71">
        <f t="shared" si="34"/>
        <v>68866</v>
      </c>
      <c r="B810">
        <f t="shared" ca="1" si="35"/>
        <v>577</v>
      </c>
      <c r="C810" t="s">
        <v>40</v>
      </c>
    </row>
    <row r="811" spans="1:3" x14ac:dyDescent="0.25">
      <c r="A811" s="71">
        <f t="shared" si="34"/>
        <v>68896</v>
      </c>
      <c r="B811">
        <f t="shared" ca="1" si="35"/>
        <v>577</v>
      </c>
      <c r="C811" t="s">
        <v>40</v>
      </c>
    </row>
    <row r="812" spans="1:3" x14ac:dyDescent="0.25">
      <c r="A812" s="71">
        <f t="shared" si="34"/>
        <v>68926</v>
      </c>
      <c r="B812">
        <f t="shared" ca="1" si="35"/>
        <v>577</v>
      </c>
      <c r="C812" t="s">
        <v>40</v>
      </c>
    </row>
    <row r="813" spans="1:3" x14ac:dyDescent="0.25">
      <c r="A813" s="71">
        <f t="shared" si="34"/>
        <v>68956</v>
      </c>
      <c r="B813">
        <f t="shared" ca="1" si="35"/>
        <v>577</v>
      </c>
      <c r="C813" t="s">
        <v>40</v>
      </c>
    </row>
    <row r="814" spans="1:3" x14ac:dyDescent="0.25">
      <c r="A814" s="71">
        <f t="shared" si="34"/>
        <v>68986</v>
      </c>
      <c r="B814">
        <f t="shared" ca="1" si="35"/>
        <v>577</v>
      </c>
      <c r="C814" t="s">
        <v>40</v>
      </c>
    </row>
    <row r="815" spans="1:3" x14ac:dyDescent="0.25">
      <c r="A815" s="71">
        <f t="shared" si="34"/>
        <v>69016</v>
      </c>
      <c r="B815">
        <f t="shared" ca="1" si="35"/>
        <v>577</v>
      </c>
      <c r="C815" t="s">
        <v>40</v>
      </c>
    </row>
    <row r="816" spans="1:3" x14ac:dyDescent="0.25">
      <c r="A816" s="71">
        <f t="shared" si="34"/>
        <v>69046</v>
      </c>
      <c r="B816">
        <f t="shared" ca="1" si="35"/>
        <v>577</v>
      </c>
      <c r="C816" t="s">
        <v>40</v>
      </c>
    </row>
    <row r="817" spans="1:3" x14ac:dyDescent="0.25">
      <c r="A817" s="71">
        <f t="shared" si="34"/>
        <v>69076</v>
      </c>
      <c r="B817">
        <f t="shared" ca="1" si="35"/>
        <v>577</v>
      </c>
      <c r="C817" t="s">
        <v>40</v>
      </c>
    </row>
    <row r="818" spans="1:3" x14ac:dyDescent="0.25">
      <c r="A818" s="71">
        <f t="shared" si="34"/>
        <v>69106</v>
      </c>
      <c r="B818">
        <f t="shared" ca="1" si="35"/>
        <v>577</v>
      </c>
      <c r="C818" t="s">
        <v>40</v>
      </c>
    </row>
    <row r="819" spans="1:3" x14ac:dyDescent="0.25">
      <c r="A819" s="71">
        <f t="shared" si="34"/>
        <v>69136</v>
      </c>
      <c r="B819">
        <f t="shared" ca="1" si="35"/>
        <v>577</v>
      </c>
      <c r="C819" t="s">
        <v>40</v>
      </c>
    </row>
    <row r="820" spans="1:3" x14ac:dyDescent="0.25">
      <c r="A820" s="71">
        <f t="shared" si="34"/>
        <v>69166</v>
      </c>
      <c r="B820">
        <f t="shared" ca="1" si="35"/>
        <v>577</v>
      </c>
      <c r="C820" t="s">
        <v>40</v>
      </c>
    </row>
    <row r="821" spans="1:3" x14ac:dyDescent="0.25">
      <c r="A821" s="71">
        <f t="shared" si="34"/>
        <v>69196</v>
      </c>
      <c r="B821">
        <f t="shared" ca="1" si="35"/>
        <v>577</v>
      </c>
      <c r="C821" t="s">
        <v>40</v>
      </c>
    </row>
    <row r="822" spans="1:3" x14ac:dyDescent="0.25">
      <c r="A822" s="71">
        <f t="shared" si="34"/>
        <v>69226</v>
      </c>
      <c r="B822">
        <f t="shared" ca="1" si="35"/>
        <v>577</v>
      </c>
      <c r="C822" t="s">
        <v>40</v>
      </c>
    </row>
    <row r="823" spans="1:3" x14ac:dyDescent="0.25">
      <c r="A823" s="71">
        <f t="shared" si="34"/>
        <v>69256</v>
      </c>
      <c r="B823">
        <f t="shared" ca="1" si="35"/>
        <v>577</v>
      </c>
      <c r="C823" t="s">
        <v>40</v>
      </c>
    </row>
    <row r="824" spans="1:3" x14ac:dyDescent="0.25">
      <c r="A824" s="71">
        <f t="shared" si="34"/>
        <v>69286</v>
      </c>
      <c r="B824">
        <f t="shared" ca="1" si="35"/>
        <v>577</v>
      </c>
      <c r="C824" t="s">
        <v>40</v>
      </c>
    </row>
    <row r="825" spans="1:3" x14ac:dyDescent="0.25">
      <c r="A825" s="71">
        <f t="shared" si="34"/>
        <v>69316</v>
      </c>
      <c r="B825">
        <f t="shared" ca="1" si="35"/>
        <v>577</v>
      </c>
      <c r="C825" t="s">
        <v>40</v>
      </c>
    </row>
    <row r="826" spans="1:3" x14ac:dyDescent="0.25">
      <c r="A826" s="71">
        <f t="shared" si="34"/>
        <v>69346</v>
      </c>
      <c r="B826">
        <f t="shared" ca="1" si="35"/>
        <v>577</v>
      </c>
      <c r="C826" t="s">
        <v>40</v>
      </c>
    </row>
    <row r="827" spans="1:3" x14ac:dyDescent="0.25">
      <c r="A827" s="71">
        <f t="shared" si="34"/>
        <v>69376</v>
      </c>
      <c r="B827">
        <f t="shared" ca="1" si="35"/>
        <v>577</v>
      </c>
      <c r="C827" t="s">
        <v>40</v>
      </c>
    </row>
    <row r="828" spans="1:3" x14ac:dyDescent="0.25">
      <c r="A828" s="71">
        <f t="shared" si="34"/>
        <v>69406</v>
      </c>
      <c r="B828">
        <f t="shared" ca="1" si="35"/>
        <v>577</v>
      </c>
      <c r="C828" t="s">
        <v>40</v>
      </c>
    </row>
    <row r="829" spans="1:3" x14ac:dyDescent="0.25">
      <c r="A829" s="71">
        <f t="shared" si="34"/>
        <v>69436</v>
      </c>
      <c r="B829">
        <f t="shared" ca="1" si="35"/>
        <v>577</v>
      </c>
      <c r="C829" t="s">
        <v>40</v>
      </c>
    </row>
    <row r="830" spans="1:3" x14ac:dyDescent="0.25">
      <c r="A830" s="71">
        <f t="shared" si="34"/>
        <v>69466</v>
      </c>
      <c r="B830">
        <f t="shared" ca="1" si="35"/>
        <v>577</v>
      </c>
      <c r="C830" t="s">
        <v>40</v>
      </c>
    </row>
    <row r="831" spans="1:3" x14ac:dyDescent="0.25">
      <c r="A831" s="71">
        <f t="shared" si="34"/>
        <v>69496</v>
      </c>
      <c r="B831">
        <f t="shared" ca="1" si="35"/>
        <v>577</v>
      </c>
      <c r="C831" t="s">
        <v>40</v>
      </c>
    </row>
    <row r="832" spans="1:3" x14ac:dyDescent="0.25">
      <c r="A832" s="71">
        <f t="shared" si="34"/>
        <v>69526</v>
      </c>
      <c r="B832">
        <f t="shared" ca="1" si="35"/>
        <v>577</v>
      </c>
      <c r="C832" t="s">
        <v>40</v>
      </c>
    </row>
    <row r="833" spans="1:3" x14ac:dyDescent="0.25">
      <c r="A833" s="71">
        <f t="shared" si="34"/>
        <v>69556</v>
      </c>
      <c r="B833">
        <f t="shared" ca="1" si="35"/>
        <v>577</v>
      </c>
      <c r="C833" t="s">
        <v>40</v>
      </c>
    </row>
    <row r="834" spans="1:3" x14ac:dyDescent="0.25">
      <c r="A834" s="71">
        <f t="shared" si="34"/>
        <v>69586</v>
      </c>
      <c r="B834">
        <f t="shared" ca="1" si="35"/>
        <v>577</v>
      </c>
      <c r="C834" t="s">
        <v>40</v>
      </c>
    </row>
    <row r="835" spans="1:3" x14ac:dyDescent="0.25">
      <c r="A835" s="71">
        <f t="shared" si="34"/>
        <v>69616</v>
      </c>
      <c r="B835">
        <f t="shared" ca="1" si="35"/>
        <v>577</v>
      </c>
      <c r="C835" t="s">
        <v>40</v>
      </c>
    </row>
    <row r="836" spans="1:3" x14ac:dyDescent="0.25">
      <c r="A836" s="71">
        <f t="shared" si="34"/>
        <v>69646</v>
      </c>
      <c r="B836">
        <f t="shared" ca="1" si="35"/>
        <v>577</v>
      </c>
      <c r="C836" t="s">
        <v>40</v>
      </c>
    </row>
    <row r="837" spans="1:3" x14ac:dyDescent="0.25">
      <c r="A837" s="71">
        <f t="shared" si="34"/>
        <v>69676</v>
      </c>
      <c r="B837">
        <f t="shared" ca="1" si="35"/>
        <v>577</v>
      </c>
      <c r="C837" t="s">
        <v>40</v>
      </c>
    </row>
    <row r="838" spans="1:3" x14ac:dyDescent="0.25">
      <c r="A838" s="71">
        <f t="shared" si="34"/>
        <v>69706</v>
      </c>
      <c r="B838">
        <f t="shared" ca="1" si="35"/>
        <v>577</v>
      </c>
      <c r="C838" t="s">
        <v>40</v>
      </c>
    </row>
    <row r="839" spans="1:3" x14ac:dyDescent="0.25">
      <c r="A839" s="71">
        <f t="shared" si="34"/>
        <v>69736</v>
      </c>
      <c r="B839">
        <f t="shared" ca="1" si="35"/>
        <v>577</v>
      </c>
      <c r="C839" t="s">
        <v>40</v>
      </c>
    </row>
    <row r="840" spans="1:3" x14ac:dyDescent="0.25">
      <c r="A840" s="71">
        <f t="shared" si="34"/>
        <v>69766</v>
      </c>
      <c r="B840">
        <f t="shared" ca="1" si="35"/>
        <v>577</v>
      </c>
      <c r="C840" t="s">
        <v>40</v>
      </c>
    </row>
    <row r="841" spans="1:3" x14ac:dyDescent="0.25">
      <c r="A841" s="71">
        <f t="shared" si="34"/>
        <v>69796</v>
      </c>
      <c r="B841">
        <f t="shared" ca="1" si="35"/>
        <v>577</v>
      </c>
      <c r="C841" t="s">
        <v>40</v>
      </c>
    </row>
    <row r="842" spans="1:3" x14ac:dyDescent="0.25">
      <c r="A842" s="71">
        <f t="shared" si="34"/>
        <v>69826</v>
      </c>
      <c r="B842">
        <f t="shared" ca="1" si="35"/>
        <v>577</v>
      </c>
      <c r="C842" t="s">
        <v>40</v>
      </c>
    </row>
    <row r="843" spans="1:3" x14ac:dyDescent="0.25">
      <c r="A843" s="71">
        <f t="shared" si="34"/>
        <v>69856</v>
      </c>
      <c r="B843">
        <f t="shared" ca="1" si="35"/>
        <v>577</v>
      </c>
      <c r="C843" t="s">
        <v>40</v>
      </c>
    </row>
    <row r="844" spans="1:3" x14ac:dyDescent="0.25">
      <c r="A844" s="71">
        <f t="shared" ref="A844:A907" si="36">A843+30</f>
        <v>69886</v>
      </c>
      <c r="B844">
        <f t="shared" ref="B844:B907" ca="1" si="37">B843</f>
        <v>577</v>
      </c>
      <c r="C844" t="s">
        <v>40</v>
      </c>
    </row>
    <row r="845" spans="1:3" x14ac:dyDescent="0.25">
      <c r="A845" s="71">
        <f t="shared" si="36"/>
        <v>69916</v>
      </c>
      <c r="B845">
        <f t="shared" ca="1" si="37"/>
        <v>577</v>
      </c>
      <c r="C845" t="s">
        <v>40</v>
      </c>
    </row>
    <row r="846" spans="1:3" x14ac:dyDescent="0.25">
      <c r="A846" s="71">
        <f t="shared" si="36"/>
        <v>69946</v>
      </c>
      <c r="B846">
        <f t="shared" ca="1" si="37"/>
        <v>577</v>
      </c>
      <c r="C846" t="s">
        <v>40</v>
      </c>
    </row>
    <row r="847" spans="1:3" x14ac:dyDescent="0.25">
      <c r="A847" s="71">
        <f t="shared" si="36"/>
        <v>69976</v>
      </c>
      <c r="B847">
        <f t="shared" ca="1" si="37"/>
        <v>577</v>
      </c>
      <c r="C847" t="s">
        <v>40</v>
      </c>
    </row>
    <row r="848" spans="1:3" x14ac:dyDescent="0.25">
      <c r="A848" s="71">
        <f t="shared" si="36"/>
        <v>70006</v>
      </c>
      <c r="B848">
        <f t="shared" ca="1" si="37"/>
        <v>577</v>
      </c>
      <c r="C848" t="s">
        <v>40</v>
      </c>
    </row>
    <row r="849" spans="1:3" x14ac:dyDescent="0.25">
      <c r="A849" s="71">
        <f t="shared" si="36"/>
        <v>70036</v>
      </c>
      <c r="B849">
        <f t="shared" ca="1" si="37"/>
        <v>577</v>
      </c>
      <c r="C849" t="s">
        <v>40</v>
      </c>
    </row>
    <row r="850" spans="1:3" x14ac:dyDescent="0.25">
      <c r="A850" s="71">
        <f t="shared" si="36"/>
        <v>70066</v>
      </c>
      <c r="B850">
        <f t="shared" ca="1" si="37"/>
        <v>577</v>
      </c>
      <c r="C850" t="s">
        <v>40</v>
      </c>
    </row>
    <row r="851" spans="1:3" x14ac:dyDescent="0.25">
      <c r="A851" s="71">
        <f t="shared" si="36"/>
        <v>70096</v>
      </c>
      <c r="B851">
        <f t="shared" ca="1" si="37"/>
        <v>577</v>
      </c>
      <c r="C851" t="s">
        <v>40</v>
      </c>
    </row>
    <row r="852" spans="1:3" x14ac:dyDescent="0.25">
      <c r="A852" s="71">
        <f t="shared" si="36"/>
        <v>70126</v>
      </c>
      <c r="B852">
        <f t="shared" ca="1" si="37"/>
        <v>577</v>
      </c>
      <c r="C852" t="s">
        <v>40</v>
      </c>
    </row>
    <row r="853" spans="1:3" x14ac:dyDescent="0.25">
      <c r="A853" s="71">
        <f t="shared" si="36"/>
        <v>70156</v>
      </c>
      <c r="B853">
        <f t="shared" ca="1" si="37"/>
        <v>577</v>
      </c>
      <c r="C853" t="s">
        <v>40</v>
      </c>
    </row>
    <row r="854" spans="1:3" x14ac:dyDescent="0.25">
      <c r="A854" s="71">
        <f t="shared" si="36"/>
        <v>70186</v>
      </c>
      <c r="B854">
        <f t="shared" ca="1" si="37"/>
        <v>577</v>
      </c>
      <c r="C854" t="s">
        <v>40</v>
      </c>
    </row>
    <row r="855" spans="1:3" x14ac:dyDescent="0.25">
      <c r="A855" s="71">
        <f t="shared" si="36"/>
        <v>70216</v>
      </c>
      <c r="B855">
        <f t="shared" ca="1" si="37"/>
        <v>577</v>
      </c>
      <c r="C855" t="s">
        <v>40</v>
      </c>
    </row>
    <row r="856" spans="1:3" x14ac:dyDescent="0.25">
      <c r="A856" s="71">
        <f t="shared" si="36"/>
        <v>70246</v>
      </c>
      <c r="B856">
        <f t="shared" ca="1" si="37"/>
        <v>577</v>
      </c>
      <c r="C856" t="s">
        <v>40</v>
      </c>
    </row>
    <row r="857" spans="1:3" x14ac:dyDescent="0.25">
      <c r="A857" s="71">
        <f t="shared" si="36"/>
        <v>70276</v>
      </c>
      <c r="B857">
        <f t="shared" ca="1" si="37"/>
        <v>577</v>
      </c>
      <c r="C857" t="s">
        <v>40</v>
      </c>
    </row>
    <row r="858" spans="1:3" x14ac:dyDescent="0.25">
      <c r="A858" s="71">
        <f t="shared" si="36"/>
        <v>70306</v>
      </c>
      <c r="B858">
        <f t="shared" ca="1" si="37"/>
        <v>577</v>
      </c>
      <c r="C858" t="s">
        <v>40</v>
      </c>
    </row>
    <row r="859" spans="1:3" x14ac:dyDescent="0.25">
      <c r="A859" s="71">
        <f t="shared" si="36"/>
        <v>70336</v>
      </c>
      <c r="B859">
        <f t="shared" ca="1" si="37"/>
        <v>577</v>
      </c>
      <c r="C859" t="s">
        <v>40</v>
      </c>
    </row>
    <row r="860" spans="1:3" x14ac:dyDescent="0.25">
      <c r="A860" s="71">
        <f t="shared" si="36"/>
        <v>70366</v>
      </c>
      <c r="B860">
        <f t="shared" ca="1" si="37"/>
        <v>577</v>
      </c>
      <c r="C860" t="s">
        <v>40</v>
      </c>
    </row>
    <row r="861" spans="1:3" x14ac:dyDescent="0.25">
      <c r="A861" s="71">
        <f t="shared" si="36"/>
        <v>70396</v>
      </c>
      <c r="B861">
        <f t="shared" ca="1" si="37"/>
        <v>577</v>
      </c>
      <c r="C861" t="s">
        <v>40</v>
      </c>
    </row>
    <row r="862" spans="1:3" x14ac:dyDescent="0.25">
      <c r="A862" s="71">
        <f t="shared" si="36"/>
        <v>70426</v>
      </c>
      <c r="B862">
        <f t="shared" ca="1" si="37"/>
        <v>577</v>
      </c>
      <c r="C862" t="s">
        <v>40</v>
      </c>
    </row>
    <row r="863" spans="1:3" x14ac:dyDescent="0.25">
      <c r="A863" s="71">
        <f t="shared" si="36"/>
        <v>70456</v>
      </c>
      <c r="B863">
        <f t="shared" ca="1" si="37"/>
        <v>577</v>
      </c>
      <c r="C863" t="s">
        <v>40</v>
      </c>
    </row>
    <row r="864" spans="1:3" x14ac:dyDescent="0.25">
      <c r="A864" s="71">
        <f t="shared" si="36"/>
        <v>70486</v>
      </c>
      <c r="B864">
        <f t="shared" ca="1" si="37"/>
        <v>577</v>
      </c>
      <c r="C864" t="s">
        <v>40</v>
      </c>
    </row>
    <row r="865" spans="1:3" x14ac:dyDescent="0.25">
      <c r="A865" s="71">
        <f t="shared" si="36"/>
        <v>70516</v>
      </c>
      <c r="B865">
        <f t="shared" ca="1" si="37"/>
        <v>577</v>
      </c>
      <c r="C865" t="s">
        <v>40</v>
      </c>
    </row>
    <row r="866" spans="1:3" x14ac:dyDescent="0.25">
      <c r="A866" s="71">
        <f t="shared" si="36"/>
        <v>70546</v>
      </c>
      <c r="B866">
        <f t="shared" ca="1" si="37"/>
        <v>577</v>
      </c>
      <c r="C866" t="s">
        <v>40</v>
      </c>
    </row>
    <row r="867" spans="1:3" x14ac:dyDescent="0.25">
      <c r="A867" s="71">
        <f t="shared" si="36"/>
        <v>70576</v>
      </c>
      <c r="B867">
        <f t="shared" ca="1" si="37"/>
        <v>577</v>
      </c>
      <c r="C867" t="s">
        <v>40</v>
      </c>
    </row>
    <row r="868" spans="1:3" x14ac:dyDescent="0.25">
      <c r="A868" s="71">
        <f t="shared" si="36"/>
        <v>70606</v>
      </c>
      <c r="B868">
        <f t="shared" ca="1" si="37"/>
        <v>577</v>
      </c>
      <c r="C868" t="s">
        <v>40</v>
      </c>
    </row>
    <row r="869" spans="1:3" x14ac:dyDescent="0.25">
      <c r="A869" s="71">
        <f t="shared" si="36"/>
        <v>70636</v>
      </c>
      <c r="B869">
        <f t="shared" ca="1" si="37"/>
        <v>577</v>
      </c>
      <c r="C869" t="s">
        <v>40</v>
      </c>
    </row>
    <row r="870" spans="1:3" x14ac:dyDescent="0.25">
      <c r="A870" s="71">
        <f t="shared" si="36"/>
        <v>70666</v>
      </c>
      <c r="B870">
        <f t="shared" ca="1" si="37"/>
        <v>577</v>
      </c>
      <c r="C870" t="s">
        <v>40</v>
      </c>
    </row>
    <row r="871" spans="1:3" x14ac:dyDescent="0.25">
      <c r="A871" s="71">
        <f t="shared" si="36"/>
        <v>70696</v>
      </c>
      <c r="B871">
        <f t="shared" ca="1" si="37"/>
        <v>577</v>
      </c>
      <c r="C871" t="s">
        <v>40</v>
      </c>
    </row>
    <row r="872" spans="1:3" x14ac:dyDescent="0.25">
      <c r="A872" s="71">
        <f t="shared" si="36"/>
        <v>70726</v>
      </c>
      <c r="B872">
        <f t="shared" ca="1" si="37"/>
        <v>577</v>
      </c>
      <c r="C872" t="s">
        <v>40</v>
      </c>
    </row>
    <row r="873" spans="1:3" x14ac:dyDescent="0.25">
      <c r="A873" s="71">
        <f t="shared" si="36"/>
        <v>70756</v>
      </c>
      <c r="B873">
        <f t="shared" ca="1" si="37"/>
        <v>577</v>
      </c>
      <c r="C873" t="s">
        <v>40</v>
      </c>
    </row>
    <row r="874" spans="1:3" x14ac:dyDescent="0.25">
      <c r="A874" s="71">
        <f t="shared" si="36"/>
        <v>70786</v>
      </c>
      <c r="B874">
        <f t="shared" ca="1" si="37"/>
        <v>577</v>
      </c>
      <c r="C874" t="s">
        <v>40</v>
      </c>
    </row>
    <row r="875" spans="1:3" x14ac:dyDescent="0.25">
      <c r="A875" s="71">
        <f t="shared" si="36"/>
        <v>70816</v>
      </c>
      <c r="B875">
        <f t="shared" ca="1" si="37"/>
        <v>577</v>
      </c>
      <c r="C875" t="s">
        <v>40</v>
      </c>
    </row>
    <row r="876" spans="1:3" x14ac:dyDescent="0.25">
      <c r="A876" s="71">
        <f t="shared" si="36"/>
        <v>70846</v>
      </c>
      <c r="B876">
        <f t="shared" ca="1" si="37"/>
        <v>577</v>
      </c>
      <c r="C876" t="s">
        <v>40</v>
      </c>
    </row>
    <row r="877" spans="1:3" x14ac:dyDescent="0.25">
      <c r="A877" s="71">
        <f t="shared" si="36"/>
        <v>70876</v>
      </c>
      <c r="B877">
        <f t="shared" ca="1" si="37"/>
        <v>577</v>
      </c>
      <c r="C877" t="s">
        <v>40</v>
      </c>
    </row>
    <row r="878" spans="1:3" x14ac:dyDescent="0.25">
      <c r="A878" s="71">
        <f t="shared" si="36"/>
        <v>70906</v>
      </c>
      <c r="B878">
        <f t="shared" ca="1" si="37"/>
        <v>577</v>
      </c>
      <c r="C878" t="s">
        <v>40</v>
      </c>
    </row>
    <row r="879" spans="1:3" x14ac:dyDescent="0.25">
      <c r="A879" s="71">
        <f t="shared" si="36"/>
        <v>70936</v>
      </c>
      <c r="B879">
        <f t="shared" ca="1" si="37"/>
        <v>577</v>
      </c>
      <c r="C879" t="s">
        <v>40</v>
      </c>
    </row>
    <row r="880" spans="1:3" x14ac:dyDescent="0.25">
      <c r="A880" s="71">
        <f t="shared" si="36"/>
        <v>70966</v>
      </c>
      <c r="B880">
        <f t="shared" ca="1" si="37"/>
        <v>577</v>
      </c>
      <c r="C880" t="s">
        <v>40</v>
      </c>
    </row>
    <row r="881" spans="1:3" x14ac:dyDescent="0.25">
      <c r="A881" s="71">
        <f t="shared" si="36"/>
        <v>70996</v>
      </c>
      <c r="B881">
        <f t="shared" ca="1" si="37"/>
        <v>577</v>
      </c>
      <c r="C881" t="s">
        <v>40</v>
      </c>
    </row>
    <row r="882" spans="1:3" x14ac:dyDescent="0.25">
      <c r="A882" s="71">
        <f t="shared" si="36"/>
        <v>71026</v>
      </c>
      <c r="B882">
        <f t="shared" ca="1" si="37"/>
        <v>577</v>
      </c>
      <c r="C882" t="s">
        <v>40</v>
      </c>
    </row>
    <row r="883" spans="1:3" x14ac:dyDescent="0.25">
      <c r="A883" s="71">
        <f t="shared" si="36"/>
        <v>71056</v>
      </c>
      <c r="B883">
        <f t="shared" ca="1" si="37"/>
        <v>577</v>
      </c>
      <c r="C883" t="s">
        <v>40</v>
      </c>
    </row>
    <row r="884" spans="1:3" x14ac:dyDescent="0.25">
      <c r="A884" s="71">
        <f t="shared" si="36"/>
        <v>71086</v>
      </c>
      <c r="B884">
        <f t="shared" ca="1" si="37"/>
        <v>577</v>
      </c>
      <c r="C884" t="s">
        <v>40</v>
      </c>
    </row>
    <row r="885" spans="1:3" x14ac:dyDescent="0.25">
      <c r="A885" s="71">
        <f t="shared" si="36"/>
        <v>71116</v>
      </c>
      <c r="B885">
        <f t="shared" ca="1" si="37"/>
        <v>577</v>
      </c>
      <c r="C885" t="s">
        <v>40</v>
      </c>
    </row>
    <row r="886" spans="1:3" x14ac:dyDescent="0.25">
      <c r="A886" s="71">
        <f t="shared" si="36"/>
        <v>71146</v>
      </c>
      <c r="B886">
        <f t="shared" ca="1" si="37"/>
        <v>577</v>
      </c>
      <c r="C886" t="s">
        <v>40</v>
      </c>
    </row>
    <row r="887" spans="1:3" x14ac:dyDescent="0.25">
      <c r="A887" s="71">
        <f t="shared" si="36"/>
        <v>71176</v>
      </c>
      <c r="B887">
        <f t="shared" ca="1" si="37"/>
        <v>577</v>
      </c>
      <c r="C887" t="s">
        <v>40</v>
      </c>
    </row>
    <row r="888" spans="1:3" x14ac:dyDescent="0.25">
      <c r="A888" s="71">
        <f t="shared" si="36"/>
        <v>71206</v>
      </c>
      <c r="B888">
        <f t="shared" ca="1" si="37"/>
        <v>577</v>
      </c>
      <c r="C888" t="s">
        <v>40</v>
      </c>
    </row>
    <row r="889" spans="1:3" x14ac:dyDescent="0.25">
      <c r="A889" s="71">
        <f t="shared" si="36"/>
        <v>71236</v>
      </c>
      <c r="B889">
        <f t="shared" ca="1" si="37"/>
        <v>577</v>
      </c>
      <c r="C889" t="s">
        <v>40</v>
      </c>
    </row>
    <row r="890" spans="1:3" x14ac:dyDescent="0.25">
      <c r="A890" s="71">
        <f t="shared" si="36"/>
        <v>71266</v>
      </c>
      <c r="B890">
        <f t="shared" ca="1" si="37"/>
        <v>577</v>
      </c>
      <c r="C890" t="s">
        <v>40</v>
      </c>
    </row>
    <row r="891" spans="1:3" x14ac:dyDescent="0.25">
      <c r="A891" s="71">
        <f t="shared" si="36"/>
        <v>71296</v>
      </c>
      <c r="B891">
        <f t="shared" ca="1" si="37"/>
        <v>577</v>
      </c>
      <c r="C891" t="s">
        <v>40</v>
      </c>
    </row>
    <row r="892" spans="1:3" x14ac:dyDescent="0.25">
      <c r="A892" s="71">
        <f t="shared" si="36"/>
        <v>71326</v>
      </c>
      <c r="B892">
        <f t="shared" ca="1" si="37"/>
        <v>577</v>
      </c>
      <c r="C892" t="s">
        <v>40</v>
      </c>
    </row>
    <row r="893" spans="1:3" x14ac:dyDescent="0.25">
      <c r="A893" s="71">
        <f t="shared" si="36"/>
        <v>71356</v>
      </c>
      <c r="B893">
        <f t="shared" ca="1" si="37"/>
        <v>577</v>
      </c>
      <c r="C893" t="s">
        <v>40</v>
      </c>
    </row>
    <row r="894" spans="1:3" x14ac:dyDescent="0.25">
      <c r="A894" s="71">
        <f t="shared" si="36"/>
        <v>71386</v>
      </c>
      <c r="B894">
        <f t="shared" ca="1" si="37"/>
        <v>577</v>
      </c>
      <c r="C894" t="s">
        <v>40</v>
      </c>
    </row>
    <row r="895" spans="1:3" x14ac:dyDescent="0.25">
      <c r="A895" s="71">
        <f t="shared" si="36"/>
        <v>71416</v>
      </c>
      <c r="B895">
        <f t="shared" ca="1" si="37"/>
        <v>577</v>
      </c>
      <c r="C895" t="s">
        <v>40</v>
      </c>
    </row>
    <row r="896" spans="1:3" x14ac:dyDescent="0.25">
      <c r="A896" s="71">
        <f t="shared" si="36"/>
        <v>71446</v>
      </c>
      <c r="B896">
        <f t="shared" ca="1" si="37"/>
        <v>577</v>
      </c>
      <c r="C896" t="s">
        <v>40</v>
      </c>
    </row>
    <row r="897" spans="1:3" x14ac:dyDescent="0.25">
      <c r="A897" s="71">
        <f t="shared" si="36"/>
        <v>71476</v>
      </c>
      <c r="B897">
        <f t="shared" ca="1" si="37"/>
        <v>577</v>
      </c>
      <c r="C897" t="s">
        <v>40</v>
      </c>
    </row>
    <row r="898" spans="1:3" x14ac:dyDescent="0.25">
      <c r="A898" s="71">
        <f t="shared" si="36"/>
        <v>71506</v>
      </c>
      <c r="B898">
        <f t="shared" ca="1" si="37"/>
        <v>577</v>
      </c>
      <c r="C898" t="s">
        <v>40</v>
      </c>
    </row>
    <row r="899" spans="1:3" x14ac:dyDescent="0.25">
      <c r="A899" s="71">
        <f t="shared" si="36"/>
        <v>71536</v>
      </c>
      <c r="B899">
        <f t="shared" ca="1" si="37"/>
        <v>577</v>
      </c>
      <c r="C899" t="s">
        <v>40</v>
      </c>
    </row>
    <row r="900" spans="1:3" x14ac:dyDescent="0.25">
      <c r="A900" s="71">
        <f t="shared" si="36"/>
        <v>71566</v>
      </c>
      <c r="B900">
        <f t="shared" ca="1" si="37"/>
        <v>577</v>
      </c>
      <c r="C900" t="s">
        <v>40</v>
      </c>
    </row>
    <row r="901" spans="1:3" x14ac:dyDescent="0.25">
      <c r="A901" s="71">
        <f t="shared" si="36"/>
        <v>71596</v>
      </c>
      <c r="B901">
        <f t="shared" ca="1" si="37"/>
        <v>577</v>
      </c>
      <c r="C901" t="s">
        <v>40</v>
      </c>
    </row>
    <row r="902" spans="1:3" x14ac:dyDescent="0.25">
      <c r="A902" s="71">
        <f t="shared" si="36"/>
        <v>71626</v>
      </c>
      <c r="B902">
        <f t="shared" ca="1" si="37"/>
        <v>577</v>
      </c>
      <c r="C902" t="s">
        <v>40</v>
      </c>
    </row>
    <row r="903" spans="1:3" x14ac:dyDescent="0.25">
      <c r="A903" s="71">
        <f t="shared" si="36"/>
        <v>71656</v>
      </c>
      <c r="B903">
        <f t="shared" ca="1" si="37"/>
        <v>577</v>
      </c>
      <c r="C903" t="s">
        <v>40</v>
      </c>
    </row>
    <row r="904" spans="1:3" x14ac:dyDescent="0.25">
      <c r="A904" s="71">
        <f t="shared" si="36"/>
        <v>71686</v>
      </c>
      <c r="B904">
        <f t="shared" ca="1" si="37"/>
        <v>577</v>
      </c>
      <c r="C904" t="s">
        <v>40</v>
      </c>
    </row>
    <row r="905" spans="1:3" x14ac:dyDescent="0.25">
      <c r="A905" s="71">
        <f t="shared" si="36"/>
        <v>71716</v>
      </c>
      <c r="B905">
        <f t="shared" ca="1" si="37"/>
        <v>577</v>
      </c>
      <c r="C905" t="s">
        <v>40</v>
      </c>
    </row>
    <row r="906" spans="1:3" x14ac:dyDescent="0.25">
      <c r="A906" s="71">
        <f t="shared" si="36"/>
        <v>71746</v>
      </c>
      <c r="B906">
        <f t="shared" ca="1" si="37"/>
        <v>577</v>
      </c>
      <c r="C906" t="s">
        <v>40</v>
      </c>
    </row>
    <row r="907" spans="1:3" x14ac:dyDescent="0.25">
      <c r="A907" s="71">
        <f t="shared" si="36"/>
        <v>71776</v>
      </c>
      <c r="B907">
        <f t="shared" ca="1" si="37"/>
        <v>577</v>
      </c>
      <c r="C907" t="s">
        <v>40</v>
      </c>
    </row>
    <row r="908" spans="1:3" x14ac:dyDescent="0.25">
      <c r="A908" s="71">
        <f t="shared" ref="A908:A971" si="38">A907+30</f>
        <v>71806</v>
      </c>
      <c r="B908">
        <f t="shared" ref="B908:B971" ca="1" si="39">B907</f>
        <v>577</v>
      </c>
      <c r="C908" t="s">
        <v>40</v>
      </c>
    </row>
    <row r="909" spans="1:3" x14ac:dyDescent="0.25">
      <c r="A909" s="71">
        <f t="shared" si="38"/>
        <v>71836</v>
      </c>
      <c r="B909">
        <f t="shared" ca="1" si="39"/>
        <v>577</v>
      </c>
      <c r="C909" t="s">
        <v>40</v>
      </c>
    </row>
    <row r="910" spans="1:3" x14ac:dyDescent="0.25">
      <c r="A910" s="71">
        <f t="shared" si="38"/>
        <v>71866</v>
      </c>
      <c r="B910">
        <f t="shared" ca="1" si="39"/>
        <v>577</v>
      </c>
      <c r="C910" t="s">
        <v>40</v>
      </c>
    </row>
    <row r="911" spans="1:3" x14ac:dyDescent="0.25">
      <c r="A911" s="71">
        <f t="shared" si="38"/>
        <v>71896</v>
      </c>
      <c r="B911">
        <f t="shared" ca="1" si="39"/>
        <v>577</v>
      </c>
      <c r="C911" t="s">
        <v>40</v>
      </c>
    </row>
    <row r="912" spans="1:3" x14ac:dyDescent="0.25">
      <c r="A912" s="71">
        <f t="shared" si="38"/>
        <v>71926</v>
      </c>
      <c r="B912">
        <f t="shared" ca="1" si="39"/>
        <v>577</v>
      </c>
      <c r="C912" t="s">
        <v>40</v>
      </c>
    </row>
    <row r="913" spans="1:3" x14ac:dyDescent="0.25">
      <c r="A913" s="71">
        <f t="shared" si="38"/>
        <v>71956</v>
      </c>
      <c r="B913">
        <f t="shared" ca="1" si="39"/>
        <v>577</v>
      </c>
      <c r="C913" t="s">
        <v>40</v>
      </c>
    </row>
    <row r="914" spans="1:3" x14ac:dyDescent="0.25">
      <c r="A914" s="71">
        <f t="shared" si="38"/>
        <v>71986</v>
      </c>
      <c r="B914">
        <f t="shared" ca="1" si="39"/>
        <v>577</v>
      </c>
      <c r="C914" t="s">
        <v>40</v>
      </c>
    </row>
    <row r="915" spans="1:3" x14ac:dyDescent="0.25">
      <c r="A915" s="71">
        <f t="shared" si="38"/>
        <v>72016</v>
      </c>
      <c r="B915">
        <f t="shared" ca="1" si="39"/>
        <v>577</v>
      </c>
      <c r="C915" t="s">
        <v>40</v>
      </c>
    </row>
    <row r="916" spans="1:3" x14ac:dyDescent="0.25">
      <c r="A916" s="71">
        <f t="shared" si="38"/>
        <v>72046</v>
      </c>
      <c r="B916">
        <f t="shared" ca="1" si="39"/>
        <v>577</v>
      </c>
      <c r="C916" t="s">
        <v>40</v>
      </c>
    </row>
    <row r="917" spans="1:3" x14ac:dyDescent="0.25">
      <c r="A917" s="71">
        <f t="shared" si="38"/>
        <v>72076</v>
      </c>
      <c r="B917">
        <f t="shared" ca="1" si="39"/>
        <v>577</v>
      </c>
      <c r="C917" t="s">
        <v>40</v>
      </c>
    </row>
    <row r="918" spans="1:3" x14ac:dyDescent="0.25">
      <c r="A918" s="71">
        <f t="shared" si="38"/>
        <v>72106</v>
      </c>
      <c r="B918">
        <f t="shared" ca="1" si="39"/>
        <v>577</v>
      </c>
      <c r="C918" t="s">
        <v>40</v>
      </c>
    </row>
    <row r="919" spans="1:3" x14ac:dyDescent="0.25">
      <c r="A919" s="71">
        <f t="shared" si="38"/>
        <v>72136</v>
      </c>
      <c r="B919">
        <f t="shared" ca="1" si="39"/>
        <v>577</v>
      </c>
      <c r="C919" t="s">
        <v>40</v>
      </c>
    </row>
    <row r="920" spans="1:3" x14ac:dyDescent="0.25">
      <c r="A920" s="71">
        <f t="shared" si="38"/>
        <v>72166</v>
      </c>
      <c r="B920">
        <f t="shared" ca="1" si="39"/>
        <v>577</v>
      </c>
      <c r="C920" t="s">
        <v>40</v>
      </c>
    </row>
    <row r="921" spans="1:3" x14ac:dyDescent="0.25">
      <c r="A921" s="71">
        <f t="shared" si="38"/>
        <v>72196</v>
      </c>
      <c r="B921">
        <f t="shared" ca="1" si="39"/>
        <v>577</v>
      </c>
      <c r="C921" t="s">
        <v>40</v>
      </c>
    </row>
    <row r="922" spans="1:3" x14ac:dyDescent="0.25">
      <c r="A922" s="71">
        <f t="shared" si="38"/>
        <v>72226</v>
      </c>
      <c r="B922">
        <f t="shared" ca="1" si="39"/>
        <v>577</v>
      </c>
      <c r="C922" t="s">
        <v>40</v>
      </c>
    </row>
    <row r="923" spans="1:3" x14ac:dyDescent="0.25">
      <c r="A923" s="71">
        <f t="shared" si="38"/>
        <v>72256</v>
      </c>
      <c r="B923">
        <f t="shared" ca="1" si="39"/>
        <v>577</v>
      </c>
      <c r="C923" t="s">
        <v>40</v>
      </c>
    </row>
    <row r="924" spans="1:3" x14ac:dyDescent="0.25">
      <c r="A924" s="71">
        <f t="shared" si="38"/>
        <v>72286</v>
      </c>
      <c r="B924">
        <f t="shared" ca="1" si="39"/>
        <v>577</v>
      </c>
      <c r="C924" t="s">
        <v>40</v>
      </c>
    </row>
    <row r="925" spans="1:3" x14ac:dyDescent="0.25">
      <c r="A925" s="71">
        <f t="shared" si="38"/>
        <v>72316</v>
      </c>
      <c r="B925">
        <f t="shared" ca="1" si="39"/>
        <v>577</v>
      </c>
      <c r="C925" t="s">
        <v>40</v>
      </c>
    </row>
    <row r="926" spans="1:3" x14ac:dyDescent="0.25">
      <c r="A926" s="71">
        <f t="shared" si="38"/>
        <v>72346</v>
      </c>
      <c r="B926">
        <f t="shared" ca="1" si="39"/>
        <v>577</v>
      </c>
      <c r="C926" t="s">
        <v>40</v>
      </c>
    </row>
    <row r="927" spans="1:3" x14ac:dyDescent="0.25">
      <c r="A927" s="71">
        <f t="shared" si="38"/>
        <v>72376</v>
      </c>
      <c r="B927">
        <f t="shared" ca="1" si="39"/>
        <v>577</v>
      </c>
      <c r="C927" t="s">
        <v>40</v>
      </c>
    </row>
    <row r="928" spans="1:3" x14ac:dyDescent="0.25">
      <c r="A928" s="71">
        <f t="shared" si="38"/>
        <v>72406</v>
      </c>
      <c r="B928">
        <f t="shared" ca="1" si="39"/>
        <v>577</v>
      </c>
      <c r="C928" t="s">
        <v>40</v>
      </c>
    </row>
    <row r="929" spans="1:3" x14ac:dyDescent="0.25">
      <c r="A929" s="71">
        <f t="shared" si="38"/>
        <v>72436</v>
      </c>
      <c r="B929">
        <f t="shared" ca="1" si="39"/>
        <v>577</v>
      </c>
      <c r="C929" t="s">
        <v>40</v>
      </c>
    </row>
    <row r="930" spans="1:3" x14ac:dyDescent="0.25">
      <c r="A930" s="71">
        <f t="shared" si="38"/>
        <v>72466</v>
      </c>
      <c r="B930">
        <f t="shared" ca="1" si="39"/>
        <v>577</v>
      </c>
      <c r="C930" t="s">
        <v>40</v>
      </c>
    </row>
    <row r="931" spans="1:3" x14ac:dyDescent="0.25">
      <c r="A931" s="71">
        <f t="shared" si="38"/>
        <v>72496</v>
      </c>
      <c r="B931">
        <f t="shared" ca="1" si="39"/>
        <v>577</v>
      </c>
      <c r="C931" t="s">
        <v>40</v>
      </c>
    </row>
    <row r="932" spans="1:3" x14ac:dyDescent="0.25">
      <c r="A932" s="71">
        <f t="shared" si="38"/>
        <v>72526</v>
      </c>
      <c r="B932">
        <f t="shared" ca="1" si="39"/>
        <v>577</v>
      </c>
      <c r="C932" t="s">
        <v>40</v>
      </c>
    </row>
    <row r="933" spans="1:3" x14ac:dyDescent="0.25">
      <c r="A933" s="71">
        <f t="shared" si="38"/>
        <v>72556</v>
      </c>
      <c r="B933">
        <f t="shared" ca="1" si="39"/>
        <v>577</v>
      </c>
      <c r="C933" t="s">
        <v>40</v>
      </c>
    </row>
    <row r="934" spans="1:3" x14ac:dyDescent="0.25">
      <c r="A934" s="71">
        <f t="shared" si="38"/>
        <v>72586</v>
      </c>
      <c r="B934">
        <f t="shared" ca="1" si="39"/>
        <v>577</v>
      </c>
      <c r="C934" t="s">
        <v>40</v>
      </c>
    </row>
    <row r="935" spans="1:3" x14ac:dyDescent="0.25">
      <c r="A935" s="71">
        <f t="shared" si="38"/>
        <v>72616</v>
      </c>
      <c r="B935">
        <f t="shared" ca="1" si="39"/>
        <v>577</v>
      </c>
      <c r="C935" t="s">
        <v>40</v>
      </c>
    </row>
    <row r="936" spans="1:3" x14ac:dyDescent="0.25">
      <c r="A936" s="71">
        <f t="shared" si="38"/>
        <v>72646</v>
      </c>
      <c r="B936">
        <f t="shared" ca="1" si="39"/>
        <v>577</v>
      </c>
      <c r="C936" t="s">
        <v>40</v>
      </c>
    </row>
    <row r="937" spans="1:3" x14ac:dyDescent="0.25">
      <c r="A937" s="71">
        <f t="shared" si="38"/>
        <v>72676</v>
      </c>
      <c r="B937">
        <f t="shared" ca="1" si="39"/>
        <v>577</v>
      </c>
      <c r="C937" t="s">
        <v>40</v>
      </c>
    </row>
    <row r="938" spans="1:3" x14ac:dyDescent="0.25">
      <c r="A938" s="71">
        <f t="shared" si="38"/>
        <v>72706</v>
      </c>
      <c r="B938">
        <f t="shared" ca="1" si="39"/>
        <v>577</v>
      </c>
      <c r="C938" t="s">
        <v>40</v>
      </c>
    </row>
    <row r="939" spans="1:3" x14ac:dyDescent="0.25">
      <c r="A939" s="71">
        <f t="shared" si="38"/>
        <v>72736</v>
      </c>
      <c r="B939">
        <f t="shared" ca="1" si="39"/>
        <v>577</v>
      </c>
      <c r="C939" t="s">
        <v>40</v>
      </c>
    </row>
    <row r="940" spans="1:3" x14ac:dyDescent="0.25">
      <c r="A940" s="71">
        <f t="shared" si="38"/>
        <v>72766</v>
      </c>
      <c r="B940">
        <f t="shared" ca="1" si="39"/>
        <v>577</v>
      </c>
      <c r="C940" t="s">
        <v>40</v>
      </c>
    </row>
    <row r="941" spans="1:3" x14ac:dyDescent="0.25">
      <c r="A941" s="71">
        <f t="shared" si="38"/>
        <v>72796</v>
      </c>
      <c r="B941">
        <f t="shared" ca="1" si="39"/>
        <v>577</v>
      </c>
      <c r="C941" t="s">
        <v>40</v>
      </c>
    </row>
    <row r="942" spans="1:3" x14ac:dyDescent="0.25">
      <c r="A942" s="71">
        <f t="shared" si="38"/>
        <v>72826</v>
      </c>
      <c r="B942">
        <f t="shared" ca="1" si="39"/>
        <v>577</v>
      </c>
      <c r="C942" t="s">
        <v>40</v>
      </c>
    </row>
    <row r="943" spans="1:3" x14ac:dyDescent="0.25">
      <c r="A943" s="71">
        <f t="shared" si="38"/>
        <v>72856</v>
      </c>
      <c r="B943">
        <f t="shared" ca="1" si="39"/>
        <v>577</v>
      </c>
      <c r="C943" t="s">
        <v>40</v>
      </c>
    </row>
    <row r="944" spans="1:3" x14ac:dyDescent="0.25">
      <c r="A944" s="71">
        <f t="shared" si="38"/>
        <v>72886</v>
      </c>
      <c r="B944">
        <f t="shared" ca="1" si="39"/>
        <v>577</v>
      </c>
      <c r="C944" t="s">
        <v>40</v>
      </c>
    </row>
    <row r="945" spans="1:3" x14ac:dyDescent="0.25">
      <c r="A945" s="71">
        <f t="shared" si="38"/>
        <v>72916</v>
      </c>
      <c r="B945">
        <f t="shared" ca="1" si="39"/>
        <v>577</v>
      </c>
      <c r="C945" t="s">
        <v>40</v>
      </c>
    </row>
    <row r="946" spans="1:3" x14ac:dyDescent="0.25">
      <c r="A946" s="71">
        <f t="shared" si="38"/>
        <v>72946</v>
      </c>
      <c r="B946">
        <f t="shared" ca="1" si="39"/>
        <v>577</v>
      </c>
      <c r="C946" t="s">
        <v>40</v>
      </c>
    </row>
    <row r="947" spans="1:3" x14ac:dyDescent="0.25">
      <c r="A947" s="71">
        <f t="shared" si="38"/>
        <v>72976</v>
      </c>
      <c r="B947">
        <f t="shared" ca="1" si="39"/>
        <v>577</v>
      </c>
      <c r="C947" t="s">
        <v>40</v>
      </c>
    </row>
    <row r="948" spans="1:3" x14ac:dyDescent="0.25">
      <c r="A948" s="71">
        <f t="shared" si="38"/>
        <v>73006</v>
      </c>
      <c r="B948">
        <f t="shared" ca="1" si="39"/>
        <v>577</v>
      </c>
      <c r="C948" t="s">
        <v>40</v>
      </c>
    </row>
    <row r="949" spans="1:3" x14ac:dyDescent="0.25">
      <c r="A949" s="71">
        <f t="shared" si="38"/>
        <v>73036</v>
      </c>
      <c r="B949">
        <f t="shared" ca="1" si="39"/>
        <v>577</v>
      </c>
      <c r="C949" t="s">
        <v>40</v>
      </c>
    </row>
    <row r="950" spans="1:3" x14ac:dyDescent="0.25">
      <c r="A950" s="71">
        <f t="shared" si="38"/>
        <v>73066</v>
      </c>
      <c r="B950">
        <f t="shared" ca="1" si="39"/>
        <v>577</v>
      </c>
      <c r="C950" t="s">
        <v>40</v>
      </c>
    </row>
    <row r="951" spans="1:3" x14ac:dyDescent="0.25">
      <c r="A951" s="71">
        <f t="shared" si="38"/>
        <v>73096</v>
      </c>
      <c r="B951">
        <f t="shared" ca="1" si="39"/>
        <v>577</v>
      </c>
      <c r="C951" t="s">
        <v>40</v>
      </c>
    </row>
    <row r="952" spans="1:3" x14ac:dyDescent="0.25">
      <c r="A952" s="71">
        <f t="shared" si="38"/>
        <v>73126</v>
      </c>
      <c r="B952">
        <f t="shared" ca="1" si="39"/>
        <v>577</v>
      </c>
      <c r="C952" t="s">
        <v>40</v>
      </c>
    </row>
    <row r="953" spans="1:3" x14ac:dyDescent="0.25">
      <c r="A953" s="71">
        <f t="shared" si="38"/>
        <v>73156</v>
      </c>
      <c r="B953">
        <f t="shared" ca="1" si="39"/>
        <v>577</v>
      </c>
      <c r="C953" t="s">
        <v>40</v>
      </c>
    </row>
    <row r="954" spans="1:3" x14ac:dyDescent="0.25">
      <c r="A954" s="71">
        <f t="shared" si="38"/>
        <v>73186</v>
      </c>
      <c r="B954">
        <f t="shared" ca="1" si="39"/>
        <v>577</v>
      </c>
      <c r="C954" t="s">
        <v>40</v>
      </c>
    </row>
    <row r="955" spans="1:3" x14ac:dyDescent="0.25">
      <c r="A955" s="71">
        <f t="shared" si="38"/>
        <v>73216</v>
      </c>
      <c r="B955">
        <f t="shared" ca="1" si="39"/>
        <v>577</v>
      </c>
      <c r="C955" t="s">
        <v>40</v>
      </c>
    </row>
    <row r="956" spans="1:3" x14ac:dyDescent="0.25">
      <c r="A956" s="71">
        <f t="shared" si="38"/>
        <v>73246</v>
      </c>
      <c r="B956">
        <f t="shared" ca="1" si="39"/>
        <v>577</v>
      </c>
      <c r="C956" t="s">
        <v>40</v>
      </c>
    </row>
    <row r="957" spans="1:3" x14ac:dyDescent="0.25">
      <c r="A957" s="71">
        <f t="shared" si="38"/>
        <v>73276</v>
      </c>
      <c r="B957">
        <f t="shared" ca="1" si="39"/>
        <v>577</v>
      </c>
      <c r="C957" t="s">
        <v>40</v>
      </c>
    </row>
    <row r="958" spans="1:3" x14ac:dyDescent="0.25">
      <c r="A958" s="71">
        <f t="shared" si="38"/>
        <v>73306</v>
      </c>
      <c r="B958">
        <f t="shared" ca="1" si="39"/>
        <v>577</v>
      </c>
      <c r="C958" t="s">
        <v>40</v>
      </c>
    </row>
    <row r="959" spans="1:3" x14ac:dyDescent="0.25">
      <c r="A959" s="71">
        <f t="shared" si="38"/>
        <v>73336</v>
      </c>
      <c r="B959">
        <f t="shared" ca="1" si="39"/>
        <v>577</v>
      </c>
      <c r="C959" t="s">
        <v>40</v>
      </c>
    </row>
    <row r="960" spans="1:3" x14ac:dyDescent="0.25">
      <c r="A960" s="71">
        <f t="shared" si="38"/>
        <v>73366</v>
      </c>
      <c r="B960">
        <f t="shared" ca="1" si="39"/>
        <v>577</v>
      </c>
      <c r="C960" t="s">
        <v>40</v>
      </c>
    </row>
    <row r="961" spans="1:3" x14ac:dyDescent="0.25">
      <c r="A961" s="71">
        <f t="shared" si="38"/>
        <v>73396</v>
      </c>
      <c r="B961">
        <f t="shared" ca="1" si="39"/>
        <v>577</v>
      </c>
      <c r="C961" t="s">
        <v>40</v>
      </c>
    </row>
    <row r="962" spans="1:3" x14ac:dyDescent="0.25">
      <c r="A962" s="71">
        <f t="shared" si="38"/>
        <v>73426</v>
      </c>
      <c r="B962">
        <f t="shared" ca="1" si="39"/>
        <v>577</v>
      </c>
      <c r="C962" t="s">
        <v>40</v>
      </c>
    </row>
    <row r="963" spans="1:3" x14ac:dyDescent="0.25">
      <c r="A963" s="71">
        <f t="shared" si="38"/>
        <v>73456</v>
      </c>
      <c r="B963">
        <f t="shared" ca="1" si="39"/>
        <v>577</v>
      </c>
      <c r="C963" t="s">
        <v>40</v>
      </c>
    </row>
    <row r="964" spans="1:3" x14ac:dyDescent="0.25">
      <c r="A964" s="71">
        <f t="shared" si="38"/>
        <v>73486</v>
      </c>
      <c r="B964">
        <f t="shared" ca="1" si="39"/>
        <v>577</v>
      </c>
      <c r="C964" t="s">
        <v>40</v>
      </c>
    </row>
    <row r="965" spans="1:3" x14ac:dyDescent="0.25">
      <c r="A965" s="71">
        <f t="shared" si="38"/>
        <v>73516</v>
      </c>
      <c r="B965">
        <f t="shared" ca="1" si="39"/>
        <v>577</v>
      </c>
      <c r="C965" t="s">
        <v>40</v>
      </c>
    </row>
    <row r="966" spans="1:3" x14ac:dyDescent="0.25">
      <c r="A966" s="71">
        <f t="shared" si="38"/>
        <v>73546</v>
      </c>
      <c r="B966">
        <f t="shared" ca="1" si="39"/>
        <v>577</v>
      </c>
      <c r="C966" t="s">
        <v>40</v>
      </c>
    </row>
    <row r="967" spans="1:3" x14ac:dyDescent="0.25">
      <c r="A967" s="71">
        <f t="shared" si="38"/>
        <v>73576</v>
      </c>
      <c r="B967">
        <f t="shared" ca="1" si="39"/>
        <v>577</v>
      </c>
      <c r="C967" t="s">
        <v>40</v>
      </c>
    </row>
    <row r="968" spans="1:3" x14ac:dyDescent="0.25">
      <c r="A968" s="71">
        <f t="shared" si="38"/>
        <v>73606</v>
      </c>
      <c r="B968">
        <f t="shared" ca="1" si="39"/>
        <v>577</v>
      </c>
      <c r="C968" t="s">
        <v>40</v>
      </c>
    </row>
    <row r="969" spans="1:3" x14ac:dyDescent="0.25">
      <c r="A969" s="71">
        <f t="shared" si="38"/>
        <v>73636</v>
      </c>
      <c r="B969">
        <f t="shared" ca="1" si="39"/>
        <v>577</v>
      </c>
      <c r="C969" t="s">
        <v>40</v>
      </c>
    </row>
    <row r="970" spans="1:3" x14ac:dyDescent="0.25">
      <c r="A970" s="71">
        <f t="shared" si="38"/>
        <v>73666</v>
      </c>
      <c r="B970">
        <f t="shared" ca="1" si="39"/>
        <v>577</v>
      </c>
      <c r="C970" t="s">
        <v>40</v>
      </c>
    </row>
    <row r="971" spans="1:3" x14ac:dyDescent="0.25">
      <c r="A971" s="71">
        <f t="shared" si="38"/>
        <v>73696</v>
      </c>
      <c r="B971">
        <f t="shared" ca="1" si="39"/>
        <v>577</v>
      </c>
      <c r="C971" t="s">
        <v>40</v>
      </c>
    </row>
    <row r="972" spans="1:3" x14ac:dyDescent="0.25">
      <c r="A972" s="71">
        <f t="shared" ref="A972:A1035" si="40">A971+30</f>
        <v>73726</v>
      </c>
      <c r="B972">
        <f t="shared" ref="B972:B1035" ca="1" si="41">B971</f>
        <v>577</v>
      </c>
      <c r="C972" t="s">
        <v>40</v>
      </c>
    </row>
    <row r="973" spans="1:3" x14ac:dyDescent="0.25">
      <c r="A973" s="71">
        <f t="shared" si="40"/>
        <v>73756</v>
      </c>
      <c r="B973">
        <f t="shared" ca="1" si="41"/>
        <v>577</v>
      </c>
      <c r="C973" t="s">
        <v>40</v>
      </c>
    </row>
    <row r="974" spans="1:3" x14ac:dyDescent="0.25">
      <c r="A974" s="71">
        <f t="shared" si="40"/>
        <v>73786</v>
      </c>
      <c r="B974">
        <f t="shared" ca="1" si="41"/>
        <v>577</v>
      </c>
      <c r="C974" t="s">
        <v>40</v>
      </c>
    </row>
    <row r="975" spans="1:3" x14ac:dyDescent="0.25">
      <c r="A975" s="71">
        <f t="shared" si="40"/>
        <v>73816</v>
      </c>
      <c r="B975">
        <f t="shared" ca="1" si="41"/>
        <v>577</v>
      </c>
      <c r="C975" t="s">
        <v>40</v>
      </c>
    </row>
    <row r="976" spans="1:3" x14ac:dyDescent="0.25">
      <c r="A976" s="71">
        <f t="shared" si="40"/>
        <v>73846</v>
      </c>
      <c r="B976">
        <f t="shared" ca="1" si="41"/>
        <v>577</v>
      </c>
      <c r="C976" t="s">
        <v>40</v>
      </c>
    </row>
    <row r="977" spans="1:3" x14ac:dyDescent="0.25">
      <c r="A977" s="71">
        <f t="shared" si="40"/>
        <v>73876</v>
      </c>
      <c r="B977">
        <f t="shared" ca="1" si="41"/>
        <v>577</v>
      </c>
      <c r="C977" t="s">
        <v>40</v>
      </c>
    </row>
    <row r="978" spans="1:3" x14ac:dyDescent="0.25">
      <c r="A978" s="71">
        <f t="shared" si="40"/>
        <v>73906</v>
      </c>
      <c r="B978">
        <f t="shared" ca="1" si="41"/>
        <v>577</v>
      </c>
      <c r="C978" t="s">
        <v>40</v>
      </c>
    </row>
    <row r="979" spans="1:3" x14ac:dyDescent="0.25">
      <c r="A979" s="71">
        <f t="shared" si="40"/>
        <v>73936</v>
      </c>
      <c r="B979">
        <f t="shared" ca="1" si="41"/>
        <v>577</v>
      </c>
      <c r="C979" t="s">
        <v>40</v>
      </c>
    </row>
    <row r="980" spans="1:3" x14ac:dyDescent="0.25">
      <c r="A980" s="71">
        <f t="shared" si="40"/>
        <v>73966</v>
      </c>
      <c r="B980">
        <f t="shared" ca="1" si="41"/>
        <v>577</v>
      </c>
      <c r="C980" t="s">
        <v>40</v>
      </c>
    </row>
    <row r="981" spans="1:3" x14ac:dyDescent="0.25">
      <c r="A981" s="71">
        <f t="shared" si="40"/>
        <v>73996</v>
      </c>
      <c r="B981">
        <f t="shared" ca="1" si="41"/>
        <v>577</v>
      </c>
      <c r="C981" t="s">
        <v>40</v>
      </c>
    </row>
    <row r="982" spans="1:3" x14ac:dyDescent="0.25">
      <c r="A982" s="71">
        <f t="shared" si="40"/>
        <v>74026</v>
      </c>
      <c r="B982">
        <f t="shared" ca="1" si="41"/>
        <v>577</v>
      </c>
      <c r="C982" t="s">
        <v>40</v>
      </c>
    </row>
    <row r="983" spans="1:3" x14ac:dyDescent="0.25">
      <c r="A983" s="71">
        <f t="shared" si="40"/>
        <v>74056</v>
      </c>
      <c r="B983">
        <f t="shared" ca="1" si="41"/>
        <v>577</v>
      </c>
      <c r="C983" t="s">
        <v>40</v>
      </c>
    </row>
    <row r="984" spans="1:3" x14ac:dyDescent="0.25">
      <c r="A984" s="71">
        <f t="shared" si="40"/>
        <v>74086</v>
      </c>
      <c r="B984">
        <f t="shared" ca="1" si="41"/>
        <v>577</v>
      </c>
      <c r="C984" t="s">
        <v>40</v>
      </c>
    </row>
    <row r="985" spans="1:3" x14ac:dyDescent="0.25">
      <c r="A985" s="71">
        <f t="shared" si="40"/>
        <v>74116</v>
      </c>
      <c r="B985">
        <f t="shared" ca="1" si="41"/>
        <v>577</v>
      </c>
      <c r="C985" t="s">
        <v>40</v>
      </c>
    </row>
    <row r="986" spans="1:3" x14ac:dyDescent="0.25">
      <c r="A986" s="71">
        <f t="shared" si="40"/>
        <v>74146</v>
      </c>
      <c r="B986">
        <f t="shared" ca="1" si="41"/>
        <v>577</v>
      </c>
      <c r="C986" t="s">
        <v>40</v>
      </c>
    </row>
    <row r="987" spans="1:3" x14ac:dyDescent="0.25">
      <c r="A987" s="71">
        <f t="shared" si="40"/>
        <v>74176</v>
      </c>
      <c r="B987">
        <f t="shared" ca="1" si="41"/>
        <v>577</v>
      </c>
      <c r="C987" t="s">
        <v>40</v>
      </c>
    </row>
    <row r="988" spans="1:3" x14ac:dyDescent="0.25">
      <c r="A988" s="71">
        <f t="shared" si="40"/>
        <v>74206</v>
      </c>
      <c r="B988">
        <f t="shared" ca="1" si="41"/>
        <v>577</v>
      </c>
      <c r="C988" t="s">
        <v>40</v>
      </c>
    </row>
    <row r="989" spans="1:3" x14ac:dyDescent="0.25">
      <c r="A989" s="71">
        <f t="shared" si="40"/>
        <v>74236</v>
      </c>
      <c r="B989">
        <f t="shared" ca="1" si="41"/>
        <v>577</v>
      </c>
      <c r="C989" t="s">
        <v>40</v>
      </c>
    </row>
    <row r="990" spans="1:3" x14ac:dyDescent="0.25">
      <c r="A990" s="71">
        <f t="shared" si="40"/>
        <v>74266</v>
      </c>
      <c r="B990">
        <f t="shared" ca="1" si="41"/>
        <v>577</v>
      </c>
      <c r="C990" t="s">
        <v>40</v>
      </c>
    </row>
    <row r="991" spans="1:3" x14ac:dyDescent="0.25">
      <c r="A991" s="71">
        <f t="shared" si="40"/>
        <v>74296</v>
      </c>
      <c r="B991">
        <f t="shared" ca="1" si="41"/>
        <v>577</v>
      </c>
      <c r="C991" t="s">
        <v>40</v>
      </c>
    </row>
    <row r="992" spans="1:3" x14ac:dyDescent="0.25">
      <c r="A992" s="71">
        <f t="shared" si="40"/>
        <v>74326</v>
      </c>
      <c r="B992">
        <f t="shared" ca="1" si="41"/>
        <v>577</v>
      </c>
      <c r="C992" t="s">
        <v>40</v>
      </c>
    </row>
    <row r="993" spans="1:3" x14ac:dyDescent="0.25">
      <c r="A993" s="71">
        <f t="shared" si="40"/>
        <v>74356</v>
      </c>
      <c r="B993">
        <f t="shared" ca="1" si="41"/>
        <v>577</v>
      </c>
      <c r="C993" t="s">
        <v>40</v>
      </c>
    </row>
    <row r="994" spans="1:3" x14ac:dyDescent="0.25">
      <c r="A994" s="71">
        <f t="shared" si="40"/>
        <v>74386</v>
      </c>
      <c r="B994">
        <f t="shared" ca="1" si="41"/>
        <v>577</v>
      </c>
      <c r="C994" t="s">
        <v>40</v>
      </c>
    </row>
    <row r="995" spans="1:3" x14ac:dyDescent="0.25">
      <c r="A995" s="71">
        <f t="shared" si="40"/>
        <v>74416</v>
      </c>
      <c r="B995">
        <f t="shared" ca="1" si="41"/>
        <v>577</v>
      </c>
      <c r="C995" t="s">
        <v>40</v>
      </c>
    </row>
    <row r="996" spans="1:3" x14ac:dyDescent="0.25">
      <c r="A996" s="71">
        <f t="shared" si="40"/>
        <v>74446</v>
      </c>
      <c r="B996">
        <f t="shared" ca="1" si="41"/>
        <v>577</v>
      </c>
      <c r="C996" t="s">
        <v>40</v>
      </c>
    </row>
    <row r="997" spans="1:3" x14ac:dyDescent="0.25">
      <c r="A997" s="71">
        <f t="shared" si="40"/>
        <v>74476</v>
      </c>
      <c r="B997">
        <f t="shared" ca="1" si="41"/>
        <v>577</v>
      </c>
      <c r="C997" t="s">
        <v>40</v>
      </c>
    </row>
    <row r="998" spans="1:3" x14ac:dyDescent="0.25">
      <c r="A998" s="71">
        <f t="shared" si="40"/>
        <v>74506</v>
      </c>
      <c r="B998">
        <f t="shared" ca="1" si="41"/>
        <v>577</v>
      </c>
      <c r="C998" t="s">
        <v>40</v>
      </c>
    </row>
    <row r="999" spans="1:3" x14ac:dyDescent="0.25">
      <c r="A999" s="71">
        <f t="shared" si="40"/>
        <v>74536</v>
      </c>
      <c r="B999">
        <f t="shared" ca="1" si="41"/>
        <v>577</v>
      </c>
      <c r="C999" t="s">
        <v>40</v>
      </c>
    </row>
    <row r="1000" spans="1:3" x14ac:dyDescent="0.25">
      <c r="A1000" s="71">
        <f t="shared" si="40"/>
        <v>74566</v>
      </c>
      <c r="B1000">
        <f t="shared" ca="1" si="41"/>
        <v>577</v>
      </c>
      <c r="C1000" t="s">
        <v>40</v>
      </c>
    </row>
    <row r="1001" spans="1:3" x14ac:dyDescent="0.25">
      <c r="A1001" s="71">
        <f t="shared" si="40"/>
        <v>74596</v>
      </c>
      <c r="B1001">
        <f t="shared" ca="1" si="41"/>
        <v>577</v>
      </c>
      <c r="C1001" t="s">
        <v>40</v>
      </c>
    </row>
    <row r="1002" spans="1:3" x14ac:dyDescent="0.25">
      <c r="A1002" s="71">
        <f t="shared" si="40"/>
        <v>74626</v>
      </c>
      <c r="B1002">
        <f t="shared" ca="1" si="41"/>
        <v>577</v>
      </c>
      <c r="C1002" t="s">
        <v>40</v>
      </c>
    </row>
    <row r="1003" spans="1:3" x14ac:dyDescent="0.25">
      <c r="A1003" s="71">
        <f t="shared" si="40"/>
        <v>74656</v>
      </c>
      <c r="B1003">
        <f t="shared" ca="1" si="41"/>
        <v>577</v>
      </c>
      <c r="C1003" t="s">
        <v>40</v>
      </c>
    </row>
    <row r="1004" spans="1:3" x14ac:dyDescent="0.25">
      <c r="A1004" s="71">
        <f t="shared" si="40"/>
        <v>74686</v>
      </c>
      <c r="B1004">
        <f t="shared" ca="1" si="41"/>
        <v>577</v>
      </c>
      <c r="C1004" t="s">
        <v>40</v>
      </c>
    </row>
    <row r="1005" spans="1:3" x14ac:dyDescent="0.25">
      <c r="A1005" s="71">
        <f t="shared" si="40"/>
        <v>74716</v>
      </c>
      <c r="B1005">
        <f t="shared" ca="1" si="41"/>
        <v>577</v>
      </c>
      <c r="C1005" t="s">
        <v>40</v>
      </c>
    </row>
    <row r="1006" spans="1:3" x14ac:dyDescent="0.25">
      <c r="A1006" s="71">
        <f t="shared" si="40"/>
        <v>74746</v>
      </c>
      <c r="B1006">
        <f t="shared" ca="1" si="41"/>
        <v>577</v>
      </c>
      <c r="C1006" t="s">
        <v>40</v>
      </c>
    </row>
    <row r="1007" spans="1:3" x14ac:dyDescent="0.25">
      <c r="A1007" s="71">
        <f t="shared" si="40"/>
        <v>74776</v>
      </c>
      <c r="B1007">
        <f t="shared" ca="1" si="41"/>
        <v>577</v>
      </c>
      <c r="C1007" t="s">
        <v>40</v>
      </c>
    </row>
    <row r="1008" spans="1:3" x14ac:dyDescent="0.25">
      <c r="A1008" s="71">
        <f t="shared" si="40"/>
        <v>74806</v>
      </c>
      <c r="B1008">
        <f t="shared" ca="1" si="41"/>
        <v>577</v>
      </c>
      <c r="C1008" t="s">
        <v>40</v>
      </c>
    </row>
    <row r="1009" spans="1:3" x14ac:dyDescent="0.25">
      <c r="A1009" s="71">
        <f t="shared" si="40"/>
        <v>74836</v>
      </c>
      <c r="B1009">
        <f t="shared" ca="1" si="41"/>
        <v>577</v>
      </c>
      <c r="C1009" t="s">
        <v>40</v>
      </c>
    </row>
    <row r="1010" spans="1:3" x14ac:dyDescent="0.25">
      <c r="A1010" s="71">
        <f t="shared" si="40"/>
        <v>74866</v>
      </c>
      <c r="B1010">
        <f t="shared" ca="1" si="41"/>
        <v>577</v>
      </c>
      <c r="C1010" t="s">
        <v>40</v>
      </c>
    </row>
    <row r="1011" spans="1:3" x14ac:dyDescent="0.25">
      <c r="A1011" s="71">
        <f t="shared" si="40"/>
        <v>74896</v>
      </c>
      <c r="B1011">
        <f t="shared" ca="1" si="41"/>
        <v>577</v>
      </c>
      <c r="C1011" t="s">
        <v>40</v>
      </c>
    </row>
    <row r="1012" spans="1:3" x14ac:dyDescent="0.25">
      <c r="A1012" s="71">
        <f t="shared" si="40"/>
        <v>74926</v>
      </c>
      <c r="B1012">
        <f t="shared" ca="1" si="41"/>
        <v>577</v>
      </c>
      <c r="C1012" t="s">
        <v>40</v>
      </c>
    </row>
    <row r="1013" spans="1:3" x14ac:dyDescent="0.25">
      <c r="A1013" s="71">
        <f t="shared" si="40"/>
        <v>74956</v>
      </c>
      <c r="B1013">
        <f t="shared" ca="1" si="41"/>
        <v>577</v>
      </c>
      <c r="C1013" t="s">
        <v>40</v>
      </c>
    </row>
    <row r="1014" spans="1:3" x14ac:dyDescent="0.25">
      <c r="A1014" s="71">
        <f t="shared" si="40"/>
        <v>74986</v>
      </c>
      <c r="B1014">
        <f t="shared" ca="1" si="41"/>
        <v>577</v>
      </c>
      <c r="C1014" t="s">
        <v>40</v>
      </c>
    </row>
    <row r="1015" spans="1:3" x14ac:dyDescent="0.25">
      <c r="A1015" s="71">
        <f t="shared" si="40"/>
        <v>75016</v>
      </c>
      <c r="B1015">
        <f t="shared" ca="1" si="41"/>
        <v>577</v>
      </c>
      <c r="C1015" t="s">
        <v>40</v>
      </c>
    </row>
    <row r="1016" spans="1:3" x14ac:dyDescent="0.25">
      <c r="A1016" s="71">
        <f t="shared" si="40"/>
        <v>75046</v>
      </c>
      <c r="B1016">
        <f t="shared" ca="1" si="41"/>
        <v>577</v>
      </c>
      <c r="C1016" t="s">
        <v>40</v>
      </c>
    </row>
    <row r="1017" spans="1:3" x14ac:dyDescent="0.25">
      <c r="A1017" s="71">
        <f t="shared" si="40"/>
        <v>75076</v>
      </c>
      <c r="B1017">
        <f t="shared" ca="1" si="41"/>
        <v>577</v>
      </c>
      <c r="C1017" t="s">
        <v>40</v>
      </c>
    </row>
    <row r="1018" spans="1:3" x14ac:dyDescent="0.25">
      <c r="A1018" s="71">
        <f t="shared" si="40"/>
        <v>75106</v>
      </c>
      <c r="B1018">
        <f t="shared" ca="1" si="41"/>
        <v>577</v>
      </c>
      <c r="C1018" t="s">
        <v>40</v>
      </c>
    </row>
    <row r="1019" spans="1:3" x14ac:dyDescent="0.25">
      <c r="A1019" s="71">
        <f t="shared" si="40"/>
        <v>75136</v>
      </c>
      <c r="B1019">
        <f t="shared" ca="1" si="41"/>
        <v>577</v>
      </c>
      <c r="C1019" t="s">
        <v>40</v>
      </c>
    </row>
    <row r="1020" spans="1:3" x14ac:dyDescent="0.25">
      <c r="A1020" s="71">
        <f t="shared" si="40"/>
        <v>75166</v>
      </c>
      <c r="B1020">
        <f t="shared" ca="1" si="41"/>
        <v>577</v>
      </c>
      <c r="C1020" t="s">
        <v>40</v>
      </c>
    </row>
    <row r="1021" spans="1:3" x14ac:dyDescent="0.25">
      <c r="A1021" s="71">
        <f t="shared" si="40"/>
        <v>75196</v>
      </c>
      <c r="B1021">
        <f t="shared" ca="1" si="41"/>
        <v>577</v>
      </c>
      <c r="C1021" t="s">
        <v>40</v>
      </c>
    </row>
    <row r="1022" spans="1:3" x14ac:dyDescent="0.25">
      <c r="A1022" s="71">
        <f t="shared" si="40"/>
        <v>75226</v>
      </c>
      <c r="B1022">
        <f t="shared" ca="1" si="41"/>
        <v>577</v>
      </c>
      <c r="C1022" t="s">
        <v>40</v>
      </c>
    </row>
    <row r="1023" spans="1:3" x14ac:dyDescent="0.25">
      <c r="A1023" s="71">
        <f t="shared" si="40"/>
        <v>75256</v>
      </c>
      <c r="B1023">
        <f t="shared" ca="1" si="41"/>
        <v>577</v>
      </c>
      <c r="C1023" t="s">
        <v>40</v>
      </c>
    </row>
    <row r="1024" spans="1:3" x14ac:dyDescent="0.25">
      <c r="A1024" s="71">
        <f t="shared" si="40"/>
        <v>75286</v>
      </c>
      <c r="B1024">
        <f t="shared" ca="1" si="41"/>
        <v>577</v>
      </c>
      <c r="C1024" t="s">
        <v>40</v>
      </c>
    </row>
    <row r="1025" spans="1:3" x14ac:dyDescent="0.25">
      <c r="A1025" s="71">
        <f t="shared" si="40"/>
        <v>75316</v>
      </c>
      <c r="B1025">
        <f t="shared" ca="1" si="41"/>
        <v>577</v>
      </c>
      <c r="C1025" t="s">
        <v>40</v>
      </c>
    </row>
    <row r="1026" spans="1:3" x14ac:dyDescent="0.25">
      <c r="A1026" s="71">
        <f t="shared" si="40"/>
        <v>75346</v>
      </c>
      <c r="B1026">
        <f t="shared" ca="1" si="41"/>
        <v>577</v>
      </c>
      <c r="C1026" t="s">
        <v>40</v>
      </c>
    </row>
    <row r="1027" spans="1:3" x14ac:dyDescent="0.25">
      <c r="A1027" s="71">
        <f t="shared" si="40"/>
        <v>75376</v>
      </c>
      <c r="B1027">
        <f t="shared" ca="1" si="41"/>
        <v>577</v>
      </c>
      <c r="C1027" t="s">
        <v>40</v>
      </c>
    </row>
    <row r="1028" spans="1:3" x14ac:dyDescent="0.25">
      <c r="A1028" s="71">
        <f t="shared" si="40"/>
        <v>75406</v>
      </c>
      <c r="B1028">
        <f t="shared" ca="1" si="41"/>
        <v>577</v>
      </c>
      <c r="C1028" t="s">
        <v>40</v>
      </c>
    </row>
    <row r="1029" spans="1:3" x14ac:dyDescent="0.25">
      <c r="A1029" s="71">
        <f t="shared" si="40"/>
        <v>75436</v>
      </c>
      <c r="B1029">
        <f t="shared" ca="1" si="41"/>
        <v>577</v>
      </c>
      <c r="C1029" t="s">
        <v>40</v>
      </c>
    </row>
    <row r="1030" spans="1:3" x14ac:dyDescent="0.25">
      <c r="A1030" s="71">
        <f t="shared" si="40"/>
        <v>75466</v>
      </c>
      <c r="B1030">
        <f t="shared" ca="1" si="41"/>
        <v>577</v>
      </c>
      <c r="C1030" t="s">
        <v>40</v>
      </c>
    </row>
    <row r="1031" spans="1:3" x14ac:dyDescent="0.25">
      <c r="A1031" s="71">
        <f t="shared" si="40"/>
        <v>75496</v>
      </c>
      <c r="B1031">
        <f t="shared" ca="1" si="41"/>
        <v>577</v>
      </c>
      <c r="C1031" t="s">
        <v>40</v>
      </c>
    </row>
    <row r="1032" spans="1:3" x14ac:dyDescent="0.25">
      <c r="A1032" s="71">
        <f t="shared" si="40"/>
        <v>75526</v>
      </c>
      <c r="B1032">
        <f t="shared" ca="1" si="41"/>
        <v>577</v>
      </c>
      <c r="C1032" t="s">
        <v>40</v>
      </c>
    </row>
    <row r="1033" spans="1:3" x14ac:dyDescent="0.25">
      <c r="A1033" s="71">
        <f t="shared" si="40"/>
        <v>75556</v>
      </c>
      <c r="B1033">
        <f t="shared" ca="1" si="41"/>
        <v>577</v>
      </c>
      <c r="C1033" t="s">
        <v>40</v>
      </c>
    </row>
    <row r="1034" spans="1:3" x14ac:dyDescent="0.25">
      <c r="A1034" s="71">
        <f t="shared" si="40"/>
        <v>75586</v>
      </c>
      <c r="B1034">
        <f t="shared" ca="1" si="41"/>
        <v>577</v>
      </c>
      <c r="C1034" t="s">
        <v>40</v>
      </c>
    </row>
    <row r="1035" spans="1:3" x14ac:dyDescent="0.25">
      <c r="A1035" s="71">
        <f t="shared" si="40"/>
        <v>75616</v>
      </c>
      <c r="B1035">
        <f t="shared" ca="1" si="41"/>
        <v>577</v>
      </c>
      <c r="C1035" t="s">
        <v>40</v>
      </c>
    </row>
    <row r="1036" spans="1:3" x14ac:dyDescent="0.25">
      <c r="A1036" s="71">
        <f t="shared" ref="A1036:A1099" si="42">A1035+30</f>
        <v>75646</v>
      </c>
      <c r="B1036">
        <f t="shared" ref="B1036:B1099" ca="1" si="43">B1035</f>
        <v>577</v>
      </c>
      <c r="C1036" t="s">
        <v>40</v>
      </c>
    </row>
    <row r="1037" spans="1:3" x14ac:dyDescent="0.25">
      <c r="A1037" s="71">
        <f t="shared" si="42"/>
        <v>75676</v>
      </c>
      <c r="B1037">
        <f t="shared" ca="1" si="43"/>
        <v>577</v>
      </c>
      <c r="C1037" t="s">
        <v>40</v>
      </c>
    </row>
    <row r="1038" spans="1:3" x14ac:dyDescent="0.25">
      <c r="A1038" s="71">
        <f t="shared" si="42"/>
        <v>75706</v>
      </c>
      <c r="B1038">
        <f t="shared" ca="1" si="43"/>
        <v>577</v>
      </c>
      <c r="C1038" t="s">
        <v>40</v>
      </c>
    </row>
    <row r="1039" spans="1:3" x14ac:dyDescent="0.25">
      <c r="A1039" s="71">
        <f t="shared" si="42"/>
        <v>75736</v>
      </c>
      <c r="B1039">
        <f t="shared" ca="1" si="43"/>
        <v>577</v>
      </c>
      <c r="C1039" t="s">
        <v>40</v>
      </c>
    </row>
    <row r="1040" spans="1:3" x14ac:dyDescent="0.25">
      <c r="A1040" s="71">
        <f t="shared" si="42"/>
        <v>75766</v>
      </c>
      <c r="B1040">
        <f t="shared" ca="1" si="43"/>
        <v>577</v>
      </c>
      <c r="C1040" t="s">
        <v>40</v>
      </c>
    </row>
    <row r="1041" spans="1:3" x14ac:dyDescent="0.25">
      <c r="A1041" s="71">
        <f t="shared" si="42"/>
        <v>75796</v>
      </c>
      <c r="B1041">
        <f t="shared" ca="1" si="43"/>
        <v>577</v>
      </c>
      <c r="C1041" t="s">
        <v>40</v>
      </c>
    </row>
    <row r="1042" spans="1:3" x14ac:dyDescent="0.25">
      <c r="A1042" s="71">
        <f t="shared" si="42"/>
        <v>75826</v>
      </c>
      <c r="B1042">
        <f t="shared" ca="1" si="43"/>
        <v>577</v>
      </c>
      <c r="C1042" t="s">
        <v>40</v>
      </c>
    </row>
    <row r="1043" spans="1:3" x14ac:dyDescent="0.25">
      <c r="A1043" s="71">
        <f t="shared" si="42"/>
        <v>75856</v>
      </c>
      <c r="B1043">
        <f t="shared" ca="1" si="43"/>
        <v>577</v>
      </c>
      <c r="C1043" t="s">
        <v>40</v>
      </c>
    </row>
    <row r="1044" spans="1:3" x14ac:dyDescent="0.25">
      <c r="A1044" s="71">
        <f t="shared" si="42"/>
        <v>75886</v>
      </c>
      <c r="B1044">
        <f t="shared" ca="1" si="43"/>
        <v>577</v>
      </c>
      <c r="C1044" t="s">
        <v>40</v>
      </c>
    </row>
    <row r="1045" spans="1:3" x14ac:dyDescent="0.25">
      <c r="A1045" s="71">
        <f t="shared" si="42"/>
        <v>75916</v>
      </c>
      <c r="B1045">
        <f t="shared" ca="1" si="43"/>
        <v>577</v>
      </c>
      <c r="C1045" t="s">
        <v>40</v>
      </c>
    </row>
    <row r="1046" spans="1:3" x14ac:dyDescent="0.25">
      <c r="A1046" s="71">
        <f t="shared" si="42"/>
        <v>75946</v>
      </c>
      <c r="B1046">
        <f t="shared" ca="1" si="43"/>
        <v>577</v>
      </c>
      <c r="C1046" t="s">
        <v>40</v>
      </c>
    </row>
    <row r="1047" spans="1:3" x14ac:dyDescent="0.25">
      <c r="A1047" s="71">
        <f t="shared" si="42"/>
        <v>75976</v>
      </c>
      <c r="B1047">
        <f t="shared" ca="1" si="43"/>
        <v>577</v>
      </c>
      <c r="C1047" t="s">
        <v>40</v>
      </c>
    </row>
    <row r="1048" spans="1:3" x14ac:dyDescent="0.25">
      <c r="A1048" s="71">
        <f t="shared" si="42"/>
        <v>76006</v>
      </c>
      <c r="B1048">
        <f t="shared" ca="1" si="43"/>
        <v>577</v>
      </c>
      <c r="C1048" t="s">
        <v>40</v>
      </c>
    </row>
    <row r="1049" spans="1:3" x14ac:dyDescent="0.25">
      <c r="A1049" s="71">
        <f t="shared" si="42"/>
        <v>76036</v>
      </c>
      <c r="B1049">
        <f t="shared" ca="1" si="43"/>
        <v>577</v>
      </c>
      <c r="C1049" t="s">
        <v>40</v>
      </c>
    </row>
    <row r="1050" spans="1:3" x14ac:dyDescent="0.25">
      <c r="A1050" s="71">
        <f t="shared" si="42"/>
        <v>76066</v>
      </c>
      <c r="B1050">
        <f t="shared" ca="1" si="43"/>
        <v>577</v>
      </c>
      <c r="C1050" t="s">
        <v>40</v>
      </c>
    </row>
    <row r="1051" spans="1:3" x14ac:dyDescent="0.25">
      <c r="A1051" s="71">
        <f t="shared" si="42"/>
        <v>76096</v>
      </c>
      <c r="B1051">
        <f t="shared" ca="1" si="43"/>
        <v>577</v>
      </c>
      <c r="C1051" t="s">
        <v>40</v>
      </c>
    </row>
    <row r="1052" spans="1:3" x14ac:dyDescent="0.25">
      <c r="A1052" s="71">
        <f t="shared" si="42"/>
        <v>76126</v>
      </c>
      <c r="B1052">
        <f t="shared" ca="1" si="43"/>
        <v>577</v>
      </c>
      <c r="C1052" t="s">
        <v>40</v>
      </c>
    </row>
    <row r="1053" spans="1:3" x14ac:dyDescent="0.25">
      <c r="A1053" s="71">
        <f t="shared" si="42"/>
        <v>76156</v>
      </c>
      <c r="B1053">
        <f t="shared" ca="1" si="43"/>
        <v>577</v>
      </c>
      <c r="C1053" t="s">
        <v>40</v>
      </c>
    </row>
    <row r="1054" spans="1:3" x14ac:dyDescent="0.25">
      <c r="A1054" s="71">
        <f t="shared" si="42"/>
        <v>76186</v>
      </c>
      <c r="B1054">
        <f t="shared" ca="1" si="43"/>
        <v>577</v>
      </c>
      <c r="C1054" t="s">
        <v>40</v>
      </c>
    </row>
    <row r="1055" spans="1:3" x14ac:dyDescent="0.25">
      <c r="A1055" s="71">
        <f t="shared" si="42"/>
        <v>76216</v>
      </c>
      <c r="B1055">
        <f t="shared" ca="1" si="43"/>
        <v>577</v>
      </c>
      <c r="C1055" t="s">
        <v>40</v>
      </c>
    </row>
    <row r="1056" spans="1:3" x14ac:dyDescent="0.25">
      <c r="A1056" s="71">
        <f t="shared" si="42"/>
        <v>76246</v>
      </c>
      <c r="B1056">
        <f t="shared" ca="1" si="43"/>
        <v>577</v>
      </c>
      <c r="C1056" t="s">
        <v>40</v>
      </c>
    </row>
    <row r="1057" spans="1:3" x14ac:dyDescent="0.25">
      <c r="A1057" s="71">
        <f t="shared" si="42"/>
        <v>76276</v>
      </c>
      <c r="B1057">
        <f t="shared" ca="1" si="43"/>
        <v>577</v>
      </c>
      <c r="C1057" t="s">
        <v>40</v>
      </c>
    </row>
    <row r="1058" spans="1:3" x14ac:dyDescent="0.25">
      <c r="A1058" s="71">
        <f t="shared" si="42"/>
        <v>76306</v>
      </c>
      <c r="B1058">
        <f t="shared" ca="1" si="43"/>
        <v>577</v>
      </c>
      <c r="C1058" t="s">
        <v>40</v>
      </c>
    </row>
    <row r="1059" spans="1:3" x14ac:dyDescent="0.25">
      <c r="A1059" s="71">
        <f t="shared" si="42"/>
        <v>76336</v>
      </c>
      <c r="B1059">
        <f t="shared" ca="1" si="43"/>
        <v>577</v>
      </c>
      <c r="C1059" t="s">
        <v>40</v>
      </c>
    </row>
    <row r="1060" spans="1:3" x14ac:dyDescent="0.25">
      <c r="A1060" s="71">
        <f t="shared" si="42"/>
        <v>76366</v>
      </c>
      <c r="B1060">
        <f t="shared" ca="1" si="43"/>
        <v>577</v>
      </c>
      <c r="C1060" t="s">
        <v>40</v>
      </c>
    </row>
    <row r="1061" spans="1:3" x14ac:dyDescent="0.25">
      <c r="A1061" s="71">
        <f t="shared" si="42"/>
        <v>76396</v>
      </c>
      <c r="B1061">
        <f t="shared" ca="1" si="43"/>
        <v>577</v>
      </c>
      <c r="C1061" t="s">
        <v>40</v>
      </c>
    </row>
    <row r="1062" spans="1:3" x14ac:dyDescent="0.25">
      <c r="A1062" s="71">
        <f t="shared" si="42"/>
        <v>76426</v>
      </c>
      <c r="B1062">
        <f t="shared" ca="1" si="43"/>
        <v>577</v>
      </c>
      <c r="C1062" t="s">
        <v>40</v>
      </c>
    </row>
    <row r="1063" spans="1:3" x14ac:dyDescent="0.25">
      <c r="A1063" s="71">
        <f t="shared" si="42"/>
        <v>76456</v>
      </c>
      <c r="B1063">
        <f t="shared" ca="1" si="43"/>
        <v>577</v>
      </c>
      <c r="C1063" t="s">
        <v>40</v>
      </c>
    </row>
    <row r="1064" spans="1:3" x14ac:dyDescent="0.25">
      <c r="A1064" s="71">
        <f t="shared" si="42"/>
        <v>76486</v>
      </c>
      <c r="B1064">
        <f t="shared" ca="1" si="43"/>
        <v>577</v>
      </c>
      <c r="C1064" t="s">
        <v>40</v>
      </c>
    </row>
    <row r="1065" spans="1:3" x14ac:dyDescent="0.25">
      <c r="A1065" s="71">
        <f t="shared" si="42"/>
        <v>76516</v>
      </c>
      <c r="B1065">
        <f t="shared" ca="1" si="43"/>
        <v>577</v>
      </c>
      <c r="C1065" t="s">
        <v>40</v>
      </c>
    </row>
    <row r="1066" spans="1:3" x14ac:dyDescent="0.25">
      <c r="A1066" s="71">
        <f t="shared" si="42"/>
        <v>76546</v>
      </c>
      <c r="B1066">
        <f t="shared" ca="1" si="43"/>
        <v>577</v>
      </c>
      <c r="C1066" t="s">
        <v>40</v>
      </c>
    </row>
    <row r="1067" spans="1:3" x14ac:dyDescent="0.25">
      <c r="A1067" s="71">
        <f t="shared" si="42"/>
        <v>76576</v>
      </c>
      <c r="B1067">
        <f t="shared" ca="1" si="43"/>
        <v>577</v>
      </c>
      <c r="C1067" t="s">
        <v>40</v>
      </c>
    </row>
    <row r="1068" spans="1:3" x14ac:dyDescent="0.25">
      <c r="A1068" s="71">
        <f t="shared" si="42"/>
        <v>76606</v>
      </c>
      <c r="B1068">
        <f t="shared" ca="1" si="43"/>
        <v>577</v>
      </c>
      <c r="C1068" t="s">
        <v>40</v>
      </c>
    </row>
    <row r="1069" spans="1:3" x14ac:dyDescent="0.25">
      <c r="A1069" s="71">
        <f t="shared" si="42"/>
        <v>76636</v>
      </c>
      <c r="B1069">
        <f t="shared" ca="1" si="43"/>
        <v>577</v>
      </c>
      <c r="C1069" t="s">
        <v>40</v>
      </c>
    </row>
    <row r="1070" spans="1:3" x14ac:dyDescent="0.25">
      <c r="A1070" s="71">
        <f t="shared" si="42"/>
        <v>76666</v>
      </c>
      <c r="B1070">
        <f t="shared" ca="1" si="43"/>
        <v>577</v>
      </c>
      <c r="C1070" t="s">
        <v>40</v>
      </c>
    </row>
    <row r="1071" spans="1:3" x14ac:dyDescent="0.25">
      <c r="A1071" s="71">
        <f t="shared" si="42"/>
        <v>76696</v>
      </c>
      <c r="B1071">
        <f t="shared" ca="1" si="43"/>
        <v>577</v>
      </c>
      <c r="C1071" t="s">
        <v>40</v>
      </c>
    </row>
    <row r="1072" spans="1:3" x14ac:dyDescent="0.25">
      <c r="A1072" s="71">
        <f t="shared" si="42"/>
        <v>76726</v>
      </c>
      <c r="B1072">
        <f t="shared" ca="1" si="43"/>
        <v>577</v>
      </c>
      <c r="C1072" t="s">
        <v>40</v>
      </c>
    </row>
    <row r="1073" spans="1:3" x14ac:dyDescent="0.25">
      <c r="A1073" s="71">
        <f t="shared" si="42"/>
        <v>76756</v>
      </c>
      <c r="B1073">
        <f t="shared" ca="1" si="43"/>
        <v>577</v>
      </c>
      <c r="C1073" t="s">
        <v>40</v>
      </c>
    </row>
    <row r="1074" spans="1:3" x14ac:dyDescent="0.25">
      <c r="A1074" s="71">
        <f t="shared" si="42"/>
        <v>76786</v>
      </c>
      <c r="B1074">
        <f t="shared" ca="1" si="43"/>
        <v>577</v>
      </c>
      <c r="C1074" t="s">
        <v>40</v>
      </c>
    </row>
    <row r="1075" spans="1:3" x14ac:dyDescent="0.25">
      <c r="A1075" s="71">
        <f t="shared" si="42"/>
        <v>76816</v>
      </c>
      <c r="B1075">
        <f t="shared" ca="1" si="43"/>
        <v>577</v>
      </c>
      <c r="C1075" t="s">
        <v>40</v>
      </c>
    </row>
    <row r="1076" spans="1:3" x14ac:dyDescent="0.25">
      <c r="A1076" s="71">
        <f t="shared" si="42"/>
        <v>76846</v>
      </c>
      <c r="B1076">
        <f t="shared" ca="1" si="43"/>
        <v>577</v>
      </c>
      <c r="C1076" t="s">
        <v>40</v>
      </c>
    </row>
    <row r="1077" spans="1:3" x14ac:dyDescent="0.25">
      <c r="A1077" s="71">
        <f t="shared" si="42"/>
        <v>76876</v>
      </c>
      <c r="B1077">
        <f t="shared" ca="1" si="43"/>
        <v>577</v>
      </c>
      <c r="C1077" t="s">
        <v>40</v>
      </c>
    </row>
    <row r="1078" spans="1:3" x14ac:dyDescent="0.25">
      <c r="A1078" s="71">
        <f t="shared" si="42"/>
        <v>76906</v>
      </c>
      <c r="B1078">
        <f t="shared" ca="1" si="43"/>
        <v>577</v>
      </c>
      <c r="C1078" t="s">
        <v>40</v>
      </c>
    </row>
    <row r="1079" spans="1:3" x14ac:dyDescent="0.25">
      <c r="A1079" s="71">
        <f t="shared" si="42"/>
        <v>76936</v>
      </c>
      <c r="B1079">
        <f t="shared" ca="1" si="43"/>
        <v>577</v>
      </c>
      <c r="C1079" t="s">
        <v>40</v>
      </c>
    </row>
    <row r="1080" spans="1:3" x14ac:dyDescent="0.25">
      <c r="A1080" s="71">
        <f t="shared" si="42"/>
        <v>76966</v>
      </c>
      <c r="B1080">
        <f t="shared" ca="1" si="43"/>
        <v>577</v>
      </c>
      <c r="C1080" t="s">
        <v>40</v>
      </c>
    </row>
    <row r="1081" spans="1:3" x14ac:dyDescent="0.25">
      <c r="A1081" s="71">
        <f t="shared" si="42"/>
        <v>76996</v>
      </c>
      <c r="B1081">
        <f t="shared" ca="1" si="43"/>
        <v>577</v>
      </c>
      <c r="C1081" t="s">
        <v>40</v>
      </c>
    </row>
    <row r="1082" spans="1:3" x14ac:dyDescent="0.25">
      <c r="A1082" s="71">
        <f t="shared" si="42"/>
        <v>77026</v>
      </c>
      <c r="B1082">
        <f t="shared" ca="1" si="43"/>
        <v>577</v>
      </c>
      <c r="C1082" t="s">
        <v>40</v>
      </c>
    </row>
    <row r="1083" spans="1:3" x14ac:dyDescent="0.25">
      <c r="A1083" s="71">
        <f t="shared" si="42"/>
        <v>77056</v>
      </c>
      <c r="B1083">
        <f t="shared" ca="1" si="43"/>
        <v>577</v>
      </c>
      <c r="C1083" t="s">
        <v>40</v>
      </c>
    </row>
    <row r="1084" spans="1:3" x14ac:dyDescent="0.25">
      <c r="A1084" s="71">
        <f t="shared" si="42"/>
        <v>77086</v>
      </c>
      <c r="B1084">
        <f t="shared" ca="1" si="43"/>
        <v>577</v>
      </c>
      <c r="C1084" t="s">
        <v>40</v>
      </c>
    </row>
    <row r="1085" spans="1:3" x14ac:dyDescent="0.25">
      <c r="A1085" s="71">
        <f t="shared" si="42"/>
        <v>77116</v>
      </c>
      <c r="B1085">
        <f t="shared" ca="1" si="43"/>
        <v>577</v>
      </c>
      <c r="C1085" t="s">
        <v>40</v>
      </c>
    </row>
    <row r="1086" spans="1:3" x14ac:dyDescent="0.25">
      <c r="A1086" s="71">
        <f t="shared" si="42"/>
        <v>77146</v>
      </c>
      <c r="B1086">
        <f t="shared" ca="1" si="43"/>
        <v>577</v>
      </c>
      <c r="C1086" t="s">
        <v>40</v>
      </c>
    </row>
    <row r="1087" spans="1:3" x14ac:dyDescent="0.25">
      <c r="A1087" s="71">
        <f t="shared" si="42"/>
        <v>77176</v>
      </c>
      <c r="B1087">
        <f t="shared" ca="1" si="43"/>
        <v>577</v>
      </c>
      <c r="C1087" t="s">
        <v>40</v>
      </c>
    </row>
    <row r="1088" spans="1:3" x14ac:dyDescent="0.25">
      <c r="A1088" s="71">
        <f t="shared" si="42"/>
        <v>77206</v>
      </c>
      <c r="B1088">
        <f t="shared" ca="1" si="43"/>
        <v>577</v>
      </c>
      <c r="C1088" t="s">
        <v>40</v>
      </c>
    </row>
    <row r="1089" spans="1:3" x14ac:dyDescent="0.25">
      <c r="A1089" s="71">
        <f t="shared" si="42"/>
        <v>77236</v>
      </c>
      <c r="B1089">
        <f t="shared" ca="1" si="43"/>
        <v>577</v>
      </c>
      <c r="C1089" t="s">
        <v>40</v>
      </c>
    </row>
    <row r="1090" spans="1:3" x14ac:dyDescent="0.25">
      <c r="A1090" s="71">
        <f t="shared" si="42"/>
        <v>77266</v>
      </c>
      <c r="B1090">
        <f t="shared" ca="1" si="43"/>
        <v>577</v>
      </c>
      <c r="C1090" t="s">
        <v>40</v>
      </c>
    </row>
    <row r="1091" spans="1:3" x14ac:dyDescent="0.25">
      <c r="A1091" s="71">
        <f t="shared" si="42"/>
        <v>77296</v>
      </c>
      <c r="B1091">
        <f t="shared" ca="1" si="43"/>
        <v>577</v>
      </c>
      <c r="C1091" t="s">
        <v>40</v>
      </c>
    </row>
    <row r="1092" spans="1:3" x14ac:dyDescent="0.25">
      <c r="A1092" s="71">
        <f t="shared" si="42"/>
        <v>77326</v>
      </c>
      <c r="B1092">
        <f t="shared" ca="1" si="43"/>
        <v>577</v>
      </c>
      <c r="C1092" t="s">
        <v>40</v>
      </c>
    </row>
    <row r="1093" spans="1:3" x14ac:dyDescent="0.25">
      <c r="A1093" s="71">
        <f t="shared" si="42"/>
        <v>77356</v>
      </c>
      <c r="B1093">
        <f t="shared" ca="1" si="43"/>
        <v>577</v>
      </c>
      <c r="C1093" t="s">
        <v>40</v>
      </c>
    </row>
    <row r="1094" spans="1:3" x14ac:dyDescent="0.25">
      <c r="A1094" s="71">
        <f t="shared" si="42"/>
        <v>77386</v>
      </c>
      <c r="B1094">
        <f t="shared" ca="1" si="43"/>
        <v>577</v>
      </c>
      <c r="C1094" t="s">
        <v>40</v>
      </c>
    </row>
    <row r="1095" spans="1:3" x14ac:dyDescent="0.25">
      <c r="A1095" s="71">
        <f t="shared" si="42"/>
        <v>77416</v>
      </c>
      <c r="B1095">
        <f t="shared" ca="1" si="43"/>
        <v>577</v>
      </c>
      <c r="C1095" t="s">
        <v>40</v>
      </c>
    </row>
    <row r="1096" spans="1:3" x14ac:dyDescent="0.25">
      <c r="A1096" s="71">
        <f t="shared" si="42"/>
        <v>77446</v>
      </c>
      <c r="B1096">
        <f t="shared" ca="1" si="43"/>
        <v>577</v>
      </c>
      <c r="C1096" t="s">
        <v>40</v>
      </c>
    </row>
    <row r="1097" spans="1:3" x14ac:dyDescent="0.25">
      <c r="A1097" s="71">
        <f t="shared" si="42"/>
        <v>77476</v>
      </c>
      <c r="B1097">
        <f t="shared" ca="1" si="43"/>
        <v>577</v>
      </c>
      <c r="C1097" t="s">
        <v>40</v>
      </c>
    </row>
    <row r="1098" spans="1:3" x14ac:dyDescent="0.25">
      <c r="A1098" s="71">
        <f t="shared" si="42"/>
        <v>77506</v>
      </c>
      <c r="B1098">
        <f t="shared" ca="1" si="43"/>
        <v>577</v>
      </c>
      <c r="C1098" t="s">
        <v>40</v>
      </c>
    </row>
    <row r="1099" spans="1:3" x14ac:dyDescent="0.25">
      <c r="A1099" s="71">
        <f t="shared" si="42"/>
        <v>77536</v>
      </c>
      <c r="B1099">
        <f t="shared" ca="1" si="43"/>
        <v>577</v>
      </c>
      <c r="C1099" t="s">
        <v>40</v>
      </c>
    </row>
    <row r="1100" spans="1:3" x14ac:dyDescent="0.25">
      <c r="A1100" s="71">
        <f t="shared" ref="A1100:A1163" si="44">A1099+30</f>
        <v>77566</v>
      </c>
      <c r="B1100">
        <f t="shared" ref="B1100:B1163" ca="1" si="45">B1099</f>
        <v>577</v>
      </c>
      <c r="C1100" t="s">
        <v>40</v>
      </c>
    </row>
    <row r="1101" spans="1:3" x14ac:dyDescent="0.25">
      <c r="A1101" s="71">
        <f t="shared" si="44"/>
        <v>77596</v>
      </c>
      <c r="B1101">
        <f t="shared" ca="1" si="45"/>
        <v>577</v>
      </c>
      <c r="C1101" t="s">
        <v>40</v>
      </c>
    </row>
    <row r="1102" spans="1:3" x14ac:dyDescent="0.25">
      <c r="A1102" s="71">
        <f t="shared" si="44"/>
        <v>77626</v>
      </c>
      <c r="B1102">
        <f t="shared" ca="1" si="45"/>
        <v>577</v>
      </c>
      <c r="C1102" t="s">
        <v>40</v>
      </c>
    </row>
    <row r="1103" spans="1:3" x14ac:dyDescent="0.25">
      <c r="A1103" s="71">
        <f t="shared" si="44"/>
        <v>77656</v>
      </c>
      <c r="B1103">
        <f t="shared" ca="1" si="45"/>
        <v>577</v>
      </c>
      <c r="C1103" t="s">
        <v>40</v>
      </c>
    </row>
    <row r="1104" spans="1:3" x14ac:dyDescent="0.25">
      <c r="A1104" s="71">
        <f t="shared" si="44"/>
        <v>77686</v>
      </c>
      <c r="B1104">
        <f t="shared" ca="1" si="45"/>
        <v>577</v>
      </c>
      <c r="C1104" t="s">
        <v>40</v>
      </c>
    </row>
    <row r="1105" spans="1:3" x14ac:dyDescent="0.25">
      <c r="A1105" s="71">
        <f t="shared" si="44"/>
        <v>77716</v>
      </c>
      <c r="B1105">
        <f t="shared" ca="1" si="45"/>
        <v>577</v>
      </c>
      <c r="C1105" t="s">
        <v>40</v>
      </c>
    </row>
    <row r="1106" spans="1:3" x14ac:dyDescent="0.25">
      <c r="A1106" s="71">
        <f t="shared" si="44"/>
        <v>77746</v>
      </c>
      <c r="B1106">
        <f t="shared" ca="1" si="45"/>
        <v>577</v>
      </c>
      <c r="C1106" t="s">
        <v>40</v>
      </c>
    </row>
    <row r="1107" spans="1:3" x14ac:dyDescent="0.25">
      <c r="A1107" s="71">
        <f t="shared" si="44"/>
        <v>77776</v>
      </c>
      <c r="B1107">
        <f t="shared" ca="1" si="45"/>
        <v>577</v>
      </c>
      <c r="C1107" t="s">
        <v>40</v>
      </c>
    </row>
    <row r="1108" spans="1:3" x14ac:dyDescent="0.25">
      <c r="A1108" s="71">
        <f t="shared" si="44"/>
        <v>77806</v>
      </c>
      <c r="B1108">
        <f t="shared" ca="1" si="45"/>
        <v>577</v>
      </c>
      <c r="C1108" t="s">
        <v>40</v>
      </c>
    </row>
    <row r="1109" spans="1:3" x14ac:dyDescent="0.25">
      <c r="A1109" s="71">
        <f t="shared" si="44"/>
        <v>77836</v>
      </c>
      <c r="B1109">
        <f t="shared" ca="1" si="45"/>
        <v>577</v>
      </c>
      <c r="C1109" t="s">
        <v>40</v>
      </c>
    </row>
    <row r="1110" spans="1:3" x14ac:dyDescent="0.25">
      <c r="A1110" s="71">
        <f t="shared" si="44"/>
        <v>77866</v>
      </c>
      <c r="B1110">
        <f t="shared" ca="1" si="45"/>
        <v>577</v>
      </c>
      <c r="C1110" t="s">
        <v>40</v>
      </c>
    </row>
    <row r="1111" spans="1:3" x14ac:dyDescent="0.25">
      <c r="A1111" s="71">
        <f t="shared" si="44"/>
        <v>77896</v>
      </c>
      <c r="B1111">
        <f t="shared" ca="1" si="45"/>
        <v>577</v>
      </c>
      <c r="C1111" t="s">
        <v>40</v>
      </c>
    </row>
    <row r="1112" spans="1:3" x14ac:dyDescent="0.25">
      <c r="A1112" s="71">
        <f t="shared" si="44"/>
        <v>77926</v>
      </c>
      <c r="B1112">
        <f t="shared" ca="1" si="45"/>
        <v>577</v>
      </c>
      <c r="C1112" t="s">
        <v>40</v>
      </c>
    </row>
    <row r="1113" spans="1:3" x14ac:dyDescent="0.25">
      <c r="A1113" s="71">
        <f t="shared" si="44"/>
        <v>77956</v>
      </c>
      <c r="B1113">
        <f t="shared" ca="1" si="45"/>
        <v>577</v>
      </c>
      <c r="C1113" t="s">
        <v>40</v>
      </c>
    </row>
    <row r="1114" spans="1:3" x14ac:dyDescent="0.25">
      <c r="A1114" s="71">
        <f t="shared" si="44"/>
        <v>77986</v>
      </c>
      <c r="B1114">
        <f t="shared" ca="1" si="45"/>
        <v>577</v>
      </c>
      <c r="C1114" t="s">
        <v>40</v>
      </c>
    </row>
    <row r="1115" spans="1:3" x14ac:dyDescent="0.25">
      <c r="A1115" s="71">
        <f t="shared" si="44"/>
        <v>78016</v>
      </c>
      <c r="B1115">
        <f t="shared" ca="1" si="45"/>
        <v>577</v>
      </c>
      <c r="C1115" t="s">
        <v>40</v>
      </c>
    </row>
    <row r="1116" spans="1:3" x14ac:dyDescent="0.25">
      <c r="A1116" s="71">
        <f t="shared" si="44"/>
        <v>78046</v>
      </c>
      <c r="B1116">
        <f t="shared" ca="1" si="45"/>
        <v>577</v>
      </c>
      <c r="C1116" t="s">
        <v>40</v>
      </c>
    </row>
    <row r="1117" spans="1:3" x14ac:dyDescent="0.25">
      <c r="A1117" s="71">
        <f t="shared" si="44"/>
        <v>78076</v>
      </c>
      <c r="B1117">
        <f t="shared" ca="1" si="45"/>
        <v>577</v>
      </c>
      <c r="C1117" t="s">
        <v>40</v>
      </c>
    </row>
    <row r="1118" spans="1:3" x14ac:dyDescent="0.25">
      <c r="A1118" s="71">
        <f t="shared" si="44"/>
        <v>78106</v>
      </c>
      <c r="B1118">
        <f t="shared" ca="1" si="45"/>
        <v>577</v>
      </c>
      <c r="C1118" t="s">
        <v>40</v>
      </c>
    </row>
    <row r="1119" spans="1:3" x14ac:dyDescent="0.25">
      <c r="A1119" s="71">
        <f t="shared" si="44"/>
        <v>78136</v>
      </c>
      <c r="B1119">
        <f t="shared" ca="1" si="45"/>
        <v>577</v>
      </c>
      <c r="C1119" t="s">
        <v>40</v>
      </c>
    </row>
    <row r="1120" spans="1:3" x14ac:dyDescent="0.25">
      <c r="A1120" s="71">
        <f t="shared" si="44"/>
        <v>78166</v>
      </c>
      <c r="B1120">
        <f t="shared" ca="1" si="45"/>
        <v>577</v>
      </c>
      <c r="C1120" t="s">
        <v>40</v>
      </c>
    </row>
    <row r="1121" spans="1:3" x14ac:dyDescent="0.25">
      <c r="A1121" s="71">
        <f t="shared" si="44"/>
        <v>78196</v>
      </c>
      <c r="B1121">
        <f t="shared" ca="1" si="45"/>
        <v>577</v>
      </c>
      <c r="C1121" t="s">
        <v>40</v>
      </c>
    </row>
    <row r="1122" spans="1:3" x14ac:dyDescent="0.25">
      <c r="A1122" s="71">
        <f t="shared" si="44"/>
        <v>78226</v>
      </c>
      <c r="B1122">
        <f t="shared" ca="1" si="45"/>
        <v>577</v>
      </c>
      <c r="C1122" t="s">
        <v>40</v>
      </c>
    </row>
    <row r="1123" spans="1:3" x14ac:dyDescent="0.25">
      <c r="A1123" s="71">
        <f t="shared" si="44"/>
        <v>78256</v>
      </c>
      <c r="B1123">
        <f t="shared" ca="1" si="45"/>
        <v>577</v>
      </c>
      <c r="C1123" t="s">
        <v>40</v>
      </c>
    </row>
    <row r="1124" spans="1:3" x14ac:dyDescent="0.25">
      <c r="A1124" s="71">
        <f t="shared" si="44"/>
        <v>78286</v>
      </c>
      <c r="B1124">
        <f t="shared" ca="1" si="45"/>
        <v>577</v>
      </c>
      <c r="C1124" t="s">
        <v>40</v>
      </c>
    </row>
    <row r="1125" spans="1:3" x14ac:dyDescent="0.25">
      <c r="A1125" s="71">
        <f t="shared" si="44"/>
        <v>78316</v>
      </c>
      <c r="B1125">
        <f t="shared" ca="1" si="45"/>
        <v>577</v>
      </c>
      <c r="C1125" t="s">
        <v>40</v>
      </c>
    </row>
    <row r="1126" spans="1:3" x14ac:dyDescent="0.25">
      <c r="A1126" s="71">
        <f t="shared" si="44"/>
        <v>78346</v>
      </c>
      <c r="B1126">
        <f t="shared" ca="1" si="45"/>
        <v>577</v>
      </c>
      <c r="C1126" t="s">
        <v>40</v>
      </c>
    </row>
    <row r="1127" spans="1:3" x14ac:dyDescent="0.25">
      <c r="A1127" s="71">
        <f t="shared" si="44"/>
        <v>78376</v>
      </c>
      <c r="B1127">
        <f t="shared" ca="1" si="45"/>
        <v>577</v>
      </c>
      <c r="C1127" t="s">
        <v>40</v>
      </c>
    </row>
    <row r="1128" spans="1:3" x14ac:dyDescent="0.25">
      <c r="A1128" s="71">
        <f t="shared" si="44"/>
        <v>78406</v>
      </c>
      <c r="B1128">
        <f t="shared" ca="1" si="45"/>
        <v>577</v>
      </c>
      <c r="C1128" t="s">
        <v>40</v>
      </c>
    </row>
    <row r="1129" spans="1:3" x14ac:dyDescent="0.25">
      <c r="A1129" s="71">
        <f t="shared" si="44"/>
        <v>78436</v>
      </c>
      <c r="B1129">
        <f t="shared" ca="1" si="45"/>
        <v>577</v>
      </c>
      <c r="C1129" t="s">
        <v>40</v>
      </c>
    </row>
    <row r="1130" spans="1:3" x14ac:dyDescent="0.25">
      <c r="A1130" s="71">
        <f t="shared" si="44"/>
        <v>78466</v>
      </c>
      <c r="B1130">
        <f t="shared" ca="1" si="45"/>
        <v>577</v>
      </c>
      <c r="C1130" t="s">
        <v>40</v>
      </c>
    </row>
    <row r="1131" spans="1:3" x14ac:dyDescent="0.25">
      <c r="A1131" s="71">
        <f t="shared" si="44"/>
        <v>78496</v>
      </c>
      <c r="B1131">
        <f t="shared" ca="1" si="45"/>
        <v>577</v>
      </c>
      <c r="C1131" t="s">
        <v>40</v>
      </c>
    </row>
    <row r="1132" spans="1:3" x14ac:dyDescent="0.25">
      <c r="A1132" s="71">
        <f t="shared" si="44"/>
        <v>78526</v>
      </c>
      <c r="B1132">
        <f t="shared" ca="1" si="45"/>
        <v>577</v>
      </c>
      <c r="C1132" t="s">
        <v>40</v>
      </c>
    </row>
    <row r="1133" spans="1:3" x14ac:dyDescent="0.25">
      <c r="A1133" s="71">
        <f t="shared" si="44"/>
        <v>78556</v>
      </c>
      <c r="B1133">
        <f t="shared" ca="1" si="45"/>
        <v>577</v>
      </c>
      <c r="C1133" t="s">
        <v>40</v>
      </c>
    </row>
    <row r="1134" spans="1:3" x14ac:dyDescent="0.25">
      <c r="A1134" s="71">
        <f t="shared" si="44"/>
        <v>78586</v>
      </c>
      <c r="B1134">
        <f t="shared" ca="1" si="45"/>
        <v>577</v>
      </c>
      <c r="C1134" t="s">
        <v>40</v>
      </c>
    </row>
    <row r="1135" spans="1:3" x14ac:dyDescent="0.25">
      <c r="A1135" s="71">
        <f t="shared" si="44"/>
        <v>78616</v>
      </c>
      <c r="B1135">
        <f t="shared" ca="1" si="45"/>
        <v>577</v>
      </c>
      <c r="C1135" t="s">
        <v>40</v>
      </c>
    </row>
    <row r="1136" spans="1:3" x14ac:dyDescent="0.25">
      <c r="A1136" s="71">
        <f t="shared" si="44"/>
        <v>78646</v>
      </c>
      <c r="B1136">
        <f t="shared" ca="1" si="45"/>
        <v>577</v>
      </c>
      <c r="C1136" t="s">
        <v>40</v>
      </c>
    </row>
    <row r="1137" spans="1:3" x14ac:dyDescent="0.25">
      <c r="A1137" s="71">
        <f t="shared" si="44"/>
        <v>78676</v>
      </c>
      <c r="B1137">
        <f t="shared" ca="1" si="45"/>
        <v>577</v>
      </c>
      <c r="C1137" t="s">
        <v>40</v>
      </c>
    </row>
    <row r="1138" spans="1:3" x14ac:dyDescent="0.25">
      <c r="A1138" s="71">
        <f t="shared" si="44"/>
        <v>78706</v>
      </c>
      <c r="B1138">
        <f t="shared" ca="1" si="45"/>
        <v>577</v>
      </c>
      <c r="C1138" t="s">
        <v>40</v>
      </c>
    </row>
    <row r="1139" spans="1:3" x14ac:dyDescent="0.25">
      <c r="A1139" s="71">
        <f t="shared" si="44"/>
        <v>78736</v>
      </c>
      <c r="B1139">
        <f t="shared" ca="1" si="45"/>
        <v>577</v>
      </c>
      <c r="C1139" t="s">
        <v>40</v>
      </c>
    </row>
    <row r="1140" spans="1:3" x14ac:dyDescent="0.25">
      <c r="A1140" s="71">
        <f t="shared" si="44"/>
        <v>78766</v>
      </c>
      <c r="B1140">
        <f t="shared" ca="1" si="45"/>
        <v>577</v>
      </c>
      <c r="C1140" t="s">
        <v>40</v>
      </c>
    </row>
    <row r="1141" spans="1:3" x14ac:dyDescent="0.25">
      <c r="A1141" s="71">
        <f t="shared" si="44"/>
        <v>78796</v>
      </c>
      <c r="B1141">
        <f t="shared" ca="1" si="45"/>
        <v>577</v>
      </c>
      <c r="C1141" t="s">
        <v>40</v>
      </c>
    </row>
    <row r="1142" spans="1:3" x14ac:dyDescent="0.25">
      <c r="A1142" s="71">
        <f t="shared" si="44"/>
        <v>78826</v>
      </c>
      <c r="B1142">
        <f t="shared" ca="1" si="45"/>
        <v>577</v>
      </c>
      <c r="C1142" t="s">
        <v>40</v>
      </c>
    </row>
    <row r="1143" spans="1:3" x14ac:dyDescent="0.25">
      <c r="A1143" s="71">
        <f t="shared" si="44"/>
        <v>78856</v>
      </c>
      <c r="B1143">
        <f t="shared" ca="1" si="45"/>
        <v>577</v>
      </c>
      <c r="C1143" t="s">
        <v>40</v>
      </c>
    </row>
    <row r="1144" spans="1:3" x14ac:dyDescent="0.25">
      <c r="A1144" s="71">
        <f t="shared" si="44"/>
        <v>78886</v>
      </c>
      <c r="B1144">
        <f t="shared" ca="1" si="45"/>
        <v>577</v>
      </c>
      <c r="C1144" t="s">
        <v>40</v>
      </c>
    </row>
    <row r="1145" spans="1:3" x14ac:dyDescent="0.25">
      <c r="A1145" s="71">
        <f t="shared" si="44"/>
        <v>78916</v>
      </c>
      <c r="B1145">
        <f t="shared" ca="1" si="45"/>
        <v>577</v>
      </c>
      <c r="C1145" t="s">
        <v>40</v>
      </c>
    </row>
    <row r="1146" spans="1:3" x14ac:dyDescent="0.25">
      <c r="A1146" s="71">
        <f t="shared" si="44"/>
        <v>78946</v>
      </c>
      <c r="B1146">
        <f t="shared" ca="1" si="45"/>
        <v>577</v>
      </c>
      <c r="C1146" t="s">
        <v>40</v>
      </c>
    </row>
    <row r="1147" spans="1:3" x14ac:dyDescent="0.25">
      <c r="A1147" s="71">
        <f t="shared" si="44"/>
        <v>78976</v>
      </c>
      <c r="B1147">
        <f t="shared" ca="1" si="45"/>
        <v>577</v>
      </c>
      <c r="C1147" t="s">
        <v>40</v>
      </c>
    </row>
    <row r="1148" spans="1:3" x14ac:dyDescent="0.25">
      <c r="A1148" s="71">
        <f t="shared" si="44"/>
        <v>79006</v>
      </c>
      <c r="B1148">
        <f t="shared" ca="1" si="45"/>
        <v>577</v>
      </c>
      <c r="C1148" t="s">
        <v>40</v>
      </c>
    </row>
    <row r="1149" spans="1:3" x14ac:dyDescent="0.25">
      <c r="A1149" s="71">
        <f t="shared" si="44"/>
        <v>79036</v>
      </c>
      <c r="B1149">
        <f t="shared" ca="1" si="45"/>
        <v>577</v>
      </c>
      <c r="C1149" t="s">
        <v>40</v>
      </c>
    </row>
    <row r="1150" spans="1:3" x14ac:dyDescent="0.25">
      <c r="A1150" s="71">
        <f t="shared" si="44"/>
        <v>79066</v>
      </c>
      <c r="B1150">
        <f t="shared" ca="1" si="45"/>
        <v>577</v>
      </c>
      <c r="C1150" t="s">
        <v>40</v>
      </c>
    </row>
    <row r="1151" spans="1:3" x14ac:dyDescent="0.25">
      <c r="A1151" s="71">
        <f t="shared" si="44"/>
        <v>79096</v>
      </c>
      <c r="B1151">
        <f t="shared" ca="1" si="45"/>
        <v>577</v>
      </c>
      <c r="C1151" t="s">
        <v>40</v>
      </c>
    </row>
    <row r="1152" spans="1:3" x14ac:dyDescent="0.25">
      <c r="A1152" s="71">
        <f t="shared" si="44"/>
        <v>79126</v>
      </c>
      <c r="B1152">
        <f t="shared" ca="1" si="45"/>
        <v>577</v>
      </c>
      <c r="C1152" t="s">
        <v>40</v>
      </c>
    </row>
    <row r="1153" spans="1:3" x14ac:dyDescent="0.25">
      <c r="A1153" s="71">
        <f t="shared" si="44"/>
        <v>79156</v>
      </c>
      <c r="B1153">
        <f t="shared" ca="1" si="45"/>
        <v>577</v>
      </c>
      <c r="C1153" t="s">
        <v>40</v>
      </c>
    </row>
    <row r="1154" spans="1:3" x14ac:dyDescent="0.25">
      <c r="A1154" s="71">
        <f t="shared" si="44"/>
        <v>79186</v>
      </c>
      <c r="B1154">
        <f t="shared" ca="1" si="45"/>
        <v>577</v>
      </c>
      <c r="C1154" t="s">
        <v>40</v>
      </c>
    </row>
    <row r="1155" spans="1:3" x14ac:dyDescent="0.25">
      <c r="A1155" s="71">
        <f t="shared" si="44"/>
        <v>79216</v>
      </c>
      <c r="B1155">
        <f t="shared" ca="1" si="45"/>
        <v>577</v>
      </c>
      <c r="C1155" t="s">
        <v>40</v>
      </c>
    </row>
    <row r="1156" spans="1:3" x14ac:dyDescent="0.25">
      <c r="A1156" s="71">
        <f t="shared" si="44"/>
        <v>79246</v>
      </c>
      <c r="B1156">
        <f t="shared" ca="1" si="45"/>
        <v>577</v>
      </c>
      <c r="C1156" t="s">
        <v>40</v>
      </c>
    </row>
    <row r="1157" spans="1:3" x14ac:dyDescent="0.25">
      <c r="A1157" s="71">
        <f t="shared" si="44"/>
        <v>79276</v>
      </c>
      <c r="B1157">
        <f t="shared" ca="1" si="45"/>
        <v>577</v>
      </c>
      <c r="C1157" t="s">
        <v>40</v>
      </c>
    </row>
    <row r="1158" spans="1:3" x14ac:dyDescent="0.25">
      <c r="A1158" s="71">
        <f t="shared" si="44"/>
        <v>79306</v>
      </c>
      <c r="B1158">
        <f t="shared" ca="1" si="45"/>
        <v>577</v>
      </c>
      <c r="C1158" t="s">
        <v>40</v>
      </c>
    </row>
    <row r="1159" spans="1:3" x14ac:dyDescent="0.25">
      <c r="A1159" s="71">
        <f t="shared" si="44"/>
        <v>79336</v>
      </c>
      <c r="B1159">
        <f t="shared" ca="1" si="45"/>
        <v>577</v>
      </c>
      <c r="C1159" t="s">
        <v>40</v>
      </c>
    </row>
    <row r="1160" spans="1:3" x14ac:dyDescent="0.25">
      <c r="A1160" s="71">
        <f t="shared" si="44"/>
        <v>79366</v>
      </c>
      <c r="B1160">
        <f t="shared" ca="1" si="45"/>
        <v>577</v>
      </c>
      <c r="C1160" t="s">
        <v>40</v>
      </c>
    </row>
    <row r="1161" spans="1:3" x14ac:dyDescent="0.25">
      <c r="A1161" s="71">
        <f t="shared" si="44"/>
        <v>79396</v>
      </c>
      <c r="B1161">
        <f t="shared" ca="1" si="45"/>
        <v>577</v>
      </c>
      <c r="C1161" t="s">
        <v>40</v>
      </c>
    </row>
    <row r="1162" spans="1:3" x14ac:dyDescent="0.25">
      <c r="A1162" s="71">
        <f t="shared" si="44"/>
        <v>79426</v>
      </c>
      <c r="B1162">
        <f t="shared" ca="1" si="45"/>
        <v>577</v>
      </c>
      <c r="C1162" t="s">
        <v>40</v>
      </c>
    </row>
    <row r="1163" spans="1:3" x14ac:dyDescent="0.25">
      <c r="A1163" s="71">
        <f t="shared" si="44"/>
        <v>79456</v>
      </c>
      <c r="B1163">
        <f t="shared" ca="1" si="45"/>
        <v>577</v>
      </c>
      <c r="C1163" t="s">
        <v>40</v>
      </c>
    </row>
    <row r="1164" spans="1:3" x14ac:dyDescent="0.25">
      <c r="A1164" s="71">
        <f t="shared" ref="A1164:A1227" si="46">A1163+30</f>
        <v>79486</v>
      </c>
      <c r="B1164">
        <f t="shared" ref="B1164:B1227" ca="1" si="47">B1163</f>
        <v>577</v>
      </c>
      <c r="C1164" t="s">
        <v>40</v>
      </c>
    </row>
    <row r="1165" spans="1:3" x14ac:dyDescent="0.25">
      <c r="A1165" s="71">
        <f t="shared" si="46"/>
        <v>79516</v>
      </c>
      <c r="B1165">
        <f t="shared" ca="1" si="47"/>
        <v>577</v>
      </c>
      <c r="C1165" t="s">
        <v>40</v>
      </c>
    </row>
    <row r="1166" spans="1:3" x14ac:dyDescent="0.25">
      <c r="A1166" s="71">
        <f t="shared" si="46"/>
        <v>79546</v>
      </c>
      <c r="B1166">
        <f t="shared" ca="1" si="47"/>
        <v>577</v>
      </c>
      <c r="C1166" t="s">
        <v>40</v>
      </c>
    </row>
    <row r="1167" spans="1:3" x14ac:dyDescent="0.25">
      <c r="A1167" s="71">
        <f t="shared" si="46"/>
        <v>79576</v>
      </c>
      <c r="B1167">
        <f t="shared" ca="1" si="47"/>
        <v>577</v>
      </c>
      <c r="C1167" t="s">
        <v>40</v>
      </c>
    </row>
    <row r="1168" spans="1:3" x14ac:dyDescent="0.25">
      <c r="A1168" s="71">
        <f t="shared" si="46"/>
        <v>79606</v>
      </c>
      <c r="B1168">
        <f t="shared" ca="1" si="47"/>
        <v>577</v>
      </c>
      <c r="C1168" t="s">
        <v>40</v>
      </c>
    </row>
    <row r="1169" spans="1:3" x14ac:dyDescent="0.25">
      <c r="A1169" s="71">
        <f t="shared" si="46"/>
        <v>79636</v>
      </c>
      <c r="B1169">
        <f t="shared" ca="1" si="47"/>
        <v>577</v>
      </c>
      <c r="C1169" t="s">
        <v>40</v>
      </c>
    </row>
    <row r="1170" spans="1:3" x14ac:dyDescent="0.25">
      <c r="A1170" s="71">
        <f t="shared" si="46"/>
        <v>79666</v>
      </c>
      <c r="B1170">
        <f t="shared" ca="1" si="47"/>
        <v>577</v>
      </c>
      <c r="C1170" t="s">
        <v>40</v>
      </c>
    </row>
    <row r="1171" spans="1:3" x14ac:dyDescent="0.25">
      <c r="A1171" s="71">
        <f t="shared" si="46"/>
        <v>79696</v>
      </c>
      <c r="B1171">
        <f t="shared" ca="1" si="47"/>
        <v>577</v>
      </c>
      <c r="C1171" t="s">
        <v>40</v>
      </c>
    </row>
    <row r="1172" spans="1:3" x14ac:dyDescent="0.25">
      <c r="A1172" s="71">
        <f t="shared" si="46"/>
        <v>79726</v>
      </c>
      <c r="B1172">
        <f t="shared" ca="1" si="47"/>
        <v>577</v>
      </c>
      <c r="C1172" t="s">
        <v>40</v>
      </c>
    </row>
    <row r="1173" spans="1:3" x14ac:dyDescent="0.25">
      <c r="A1173" s="71">
        <f t="shared" si="46"/>
        <v>79756</v>
      </c>
      <c r="B1173">
        <f t="shared" ca="1" si="47"/>
        <v>577</v>
      </c>
      <c r="C1173" t="s">
        <v>40</v>
      </c>
    </row>
    <row r="1174" spans="1:3" x14ac:dyDescent="0.25">
      <c r="A1174" s="71">
        <f t="shared" si="46"/>
        <v>79786</v>
      </c>
      <c r="B1174">
        <f t="shared" ca="1" si="47"/>
        <v>577</v>
      </c>
      <c r="C1174" t="s">
        <v>40</v>
      </c>
    </row>
    <row r="1175" spans="1:3" x14ac:dyDescent="0.25">
      <c r="A1175" s="71">
        <f t="shared" si="46"/>
        <v>79816</v>
      </c>
      <c r="B1175">
        <f t="shared" ca="1" si="47"/>
        <v>577</v>
      </c>
      <c r="C1175" t="s">
        <v>40</v>
      </c>
    </row>
    <row r="1176" spans="1:3" x14ac:dyDescent="0.25">
      <c r="A1176" s="71">
        <f t="shared" si="46"/>
        <v>79846</v>
      </c>
      <c r="B1176">
        <f t="shared" ca="1" si="47"/>
        <v>577</v>
      </c>
      <c r="C1176" t="s">
        <v>40</v>
      </c>
    </row>
    <row r="1177" spans="1:3" x14ac:dyDescent="0.25">
      <c r="A1177" s="71">
        <f t="shared" si="46"/>
        <v>79876</v>
      </c>
      <c r="B1177">
        <f t="shared" ca="1" si="47"/>
        <v>577</v>
      </c>
      <c r="C1177" t="s">
        <v>40</v>
      </c>
    </row>
    <row r="1178" spans="1:3" x14ac:dyDescent="0.25">
      <c r="A1178" s="71">
        <f t="shared" si="46"/>
        <v>79906</v>
      </c>
      <c r="B1178">
        <f t="shared" ca="1" si="47"/>
        <v>577</v>
      </c>
      <c r="C1178" t="s">
        <v>40</v>
      </c>
    </row>
    <row r="1179" spans="1:3" x14ac:dyDescent="0.25">
      <c r="A1179" s="71">
        <f t="shared" si="46"/>
        <v>79936</v>
      </c>
      <c r="B1179">
        <f t="shared" ca="1" si="47"/>
        <v>577</v>
      </c>
      <c r="C1179" t="s">
        <v>40</v>
      </c>
    </row>
    <row r="1180" spans="1:3" x14ac:dyDescent="0.25">
      <c r="A1180" s="71">
        <f t="shared" si="46"/>
        <v>79966</v>
      </c>
      <c r="B1180">
        <f t="shared" ca="1" si="47"/>
        <v>577</v>
      </c>
      <c r="C1180" t="s">
        <v>40</v>
      </c>
    </row>
    <row r="1181" spans="1:3" x14ac:dyDescent="0.25">
      <c r="A1181" s="71">
        <f t="shared" si="46"/>
        <v>79996</v>
      </c>
      <c r="B1181">
        <f t="shared" ca="1" si="47"/>
        <v>577</v>
      </c>
      <c r="C1181" t="s">
        <v>40</v>
      </c>
    </row>
    <row r="1182" spans="1:3" x14ac:dyDescent="0.25">
      <c r="A1182" s="71">
        <f t="shared" si="46"/>
        <v>80026</v>
      </c>
      <c r="B1182">
        <f t="shared" ca="1" si="47"/>
        <v>577</v>
      </c>
      <c r="C1182" t="s">
        <v>40</v>
      </c>
    </row>
    <row r="1183" spans="1:3" x14ac:dyDescent="0.25">
      <c r="A1183" s="71">
        <f t="shared" si="46"/>
        <v>80056</v>
      </c>
      <c r="B1183">
        <f t="shared" ca="1" si="47"/>
        <v>577</v>
      </c>
      <c r="C1183" t="s">
        <v>40</v>
      </c>
    </row>
    <row r="1184" spans="1:3" x14ac:dyDescent="0.25">
      <c r="A1184" s="71">
        <f t="shared" si="46"/>
        <v>80086</v>
      </c>
      <c r="B1184">
        <f t="shared" ca="1" si="47"/>
        <v>577</v>
      </c>
      <c r="C1184" t="s">
        <v>40</v>
      </c>
    </row>
    <row r="1185" spans="1:3" x14ac:dyDescent="0.25">
      <c r="A1185" s="71">
        <f t="shared" si="46"/>
        <v>80116</v>
      </c>
      <c r="B1185">
        <f t="shared" ca="1" si="47"/>
        <v>577</v>
      </c>
      <c r="C1185" t="s">
        <v>40</v>
      </c>
    </row>
    <row r="1186" spans="1:3" x14ac:dyDescent="0.25">
      <c r="A1186" s="71">
        <f t="shared" si="46"/>
        <v>80146</v>
      </c>
      <c r="B1186">
        <f t="shared" ca="1" si="47"/>
        <v>577</v>
      </c>
      <c r="C1186" t="s">
        <v>40</v>
      </c>
    </row>
    <row r="1187" spans="1:3" x14ac:dyDescent="0.25">
      <c r="A1187" s="71">
        <f t="shared" si="46"/>
        <v>80176</v>
      </c>
      <c r="B1187">
        <f t="shared" ca="1" si="47"/>
        <v>577</v>
      </c>
      <c r="C1187" t="s">
        <v>40</v>
      </c>
    </row>
    <row r="1188" spans="1:3" x14ac:dyDescent="0.25">
      <c r="A1188" s="71">
        <f t="shared" si="46"/>
        <v>80206</v>
      </c>
      <c r="B1188">
        <f t="shared" ca="1" si="47"/>
        <v>577</v>
      </c>
      <c r="C1188" t="s">
        <v>40</v>
      </c>
    </row>
    <row r="1189" spans="1:3" x14ac:dyDescent="0.25">
      <c r="A1189" s="71">
        <f t="shared" si="46"/>
        <v>80236</v>
      </c>
      <c r="B1189">
        <f t="shared" ca="1" si="47"/>
        <v>577</v>
      </c>
      <c r="C1189" t="s">
        <v>40</v>
      </c>
    </row>
    <row r="1190" spans="1:3" x14ac:dyDescent="0.25">
      <c r="A1190" s="71">
        <f t="shared" si="46"/>
        <v>80266</v>
      </c>
      <c r="B1190">
        <f t="shared" ca="1" si="47"/>
        <v>577</v>
      </c>
      <c r="C1190" t="s">
        <v>40</v>
      </c>
    </row>
    <row r="1191" spans="1:3" x14ac:dyDescent="0.25">
      <c r="A1191" s="71">
        <f t="shared" si="46"/>
        <v>80296</v>
      </c>
      <c r="B1191">
        <f t="shared" ca="1" si="47"/>
        <v>577</v>
      </c>
      <c r="C1191" t="s">
        <v>40</v>
      </c>
    </row>
    <row r="1192" spans="1:3" x14ac:dyDescent="0.25">
      <c r="A1192" s="71">
        <f t="shared" si="46"/>
        <v>80326</v>
      </c>
      <c r="B1192">
        <f t="shared" ca="1" si="47"/>
        <v>577</v>
      </c>
      <c r="C1192" t="s">
        <v>40</v>
      </c>
    </row>
    <row r="1193" spans="1:3" x14ac:dyDescent="0.25">
      <c r="A1193" s="71">
        <f t="shared" si="46"/>
        <v>80356</v>
      </c>
      <c r="B1193">
        <f t="shared" ca="1" si="47"/>
        <v>577</v>
      </c>
      <c r="C1193" t="s">
        <v>40</v>
      </c>
    </row>
    <row r="1194" spans="1:3" x14ac:dyDescent="0.25">
      <c r="A1194" s="71">
        <f t="shared" si="46"/>
        <v>80386</v>
      </c>
      <c r="B1194">
        <f t="shared" ca="1" si="47"/>
        <v>577</v>
      </c>
      <c r="C1194" t="s">
        <v>40</v>
      </c>
    </row>
    <row r="1195" spans="1:3" x14ac:dyDescent="0.25">
      <c r="A1195" s="71">
        <f t="shared" si="46"/>
        <v>80416</v>
      </c>
      <c r="B1195">
        <f t="shared" ca="1" si="47"/>
        <v>577</v>
      </c>
      <c r="C1195" t="s">
        <v>40</v>
      </c>
    </row>
    <row r="1196" spans="1:3" x14ac:dyDescent="0.25">
      <c r="A1196" s="71">
        <f t="shared" si="46"/>
        <v>80446</v>
      </c>
      <c r="B1196">
        <f t="shared" ca="1" si="47"/>
        <v>577</v>
      </c>
      <c r="C1196" t="s">
        <v>40</v>
      </c>
    </row>
    <row r="1197" spans="1:3" x14ac:dyDescent="0.25">
      <c r="A1197" s="71">
        <f t="shared" si="46"/>
        <v>80476</v>
      </c>
      <c r="B1197">
        <f t="shared" ca="1" si="47"/>
        <v>577</v>
      </c>
      <c r="C1197" t="s">
        <v>40</v>
      </c>
    </row>
    <row r="1198" spans="1:3" x14ac:dyDescent="0.25">
      <c r="A1198" s="71">
        <f t="shared" si="46"/>
        <v>80506</v>
      </c>
      <c r="B1198">
        <f t="shared" ca="1" si="47"/>
        <v>577</v>
      </c>
      <c r="C1198" t="s">
        <v>40</v>
      </c>
    </row>
    <row r="1199" spans="1:3" x14ac:dyDescent="0.25">
      <c r="A1199" s="71">
        <f t="shared" si="46"/>
        <v>80536</v>
      </c>
      <c r="B1199">
        <f t="shared" ca="1" si="47"/>
        <v>577</v>
      </c>
      <c r="C1199" t="s">
        <v>40</v>
      </c>
    </row>
    <row r="1200" spans="1:3" x14ac:dyDescent="0.25">
      <c r="A1200" s="71">
        <f t="shared" si="46"/>
        <v>80566</v>
      </c>
      <c r="B1200">
        <f t="shared" ca="1" si="47"/>
        <v>577</v>
      </c>
      <c r="C1200" t="s">
        <v>40</v>
      </c>
    </row>
    <row r="1201" spans="1:3" x14ac:dyDescent="0.25">
      <c r="A1201" s="71">
        <f t="shared" si="46"/>
        <v>80596</v>
      </c>
      <c r="B1201">
        <f t="shared" ca="1" si="47"/>
        <v>577</v>
      </c>
      <c r="C1201" t="s">
        <v>40</v>
      </c>
    </row>
    <row r="1202" spans="1:3" x14ac:dyDescent="0.25">
      <c r="A1202" s="71">
        <f t="shared" si="46"/>
        <v>80626</v>
      </c>
      <c r="B1202">
        <f t="shared" ca="1" si="47"/>
        <v>577</v>
      </c>
      <c r="C1202" t="s">
        <v>40</v>
      </c>
    </row>
    <row r="1203" spans="1:3" x14ac:dyDescent="0.25">
      <c r="A1203" s="71">
        <f t="shared" si="46"/>
        <v>80656</v>
      </c>
      <c r="B1203">
        <f t="shared" ca="1" si="47"/>
        <v>577</v>
      </c>
      <c r="C1203" t="s">
        <v>40</v>
      </c>
    </row>
    <row r="1204" spans="1:3" x14ac:dyDescent="0.25">
      <c r="A1204" s="71">
        <f t="shared" si="46"/>
        <v>80686</v>
      </c>
      <c r="B1204">
        <f t="shared" ca="1" si="47"/>
        <v>577</v>
      </c>
      <c r="C1204" t="s">
        <v>40</v>
      </c>
    </row>
    <row r="1205" spans="1:3" x14ac:dyDescent="0.25">
      <c r="A1205" s="71">
        <f t="shared" si="46"/>
        <v>80716</v>
      </c>
      <c r="B1205">
        <f t="shared" ca="1" si="47"/>
        <v>577</v>
      </c>
      <c r="C1205" t="s">
        <v>40</v>
      </c>
    </row>
    <row r="1206" spans="1:3" x14ac:dyDescent="0.25">
      <c r="A1206" s="71">
        <f t="shared" si="46"/>
        <v>80746</v>
      </c>
      <c r="B1206">
        <f t="shared" ca="1" si="47"/>
        <v>577</v>
      </c>
      <c r="C1206" t="s">
        <v>40</v>
      </c>
    </row>
    <row r="1207" spans="1:3" x14ac:dyDescent="0.25">
      <c r="A1207" s="71">
        <f t="shared" si="46"/>
        <v>80776</v>
      </c>
      <c r="B1207">
        <f t="shared" ca="1" si="47"/>
        <v>577</v>
      </c>
      <c r="C1207" t="s">
        <v>40</v>
      </c>
    </row>
    <row r="1208" spans="1:3" x14ac:dyDescent="0.25">
      <c r="A1208" s="71">
        <f t="shared" si="46"/>
        <v>80806</v>
      </c>
      <c r="B1208">
        <f t="shared" ca="1" si="47"/>
        <v>577</v>
      </c>
      <c r="C1208" t="s">
        <v>40</v>
      </c>
    </row>
    <row r="1209" spans="1:3" x14ac:dyDescent="0.25">
      <c r="A1209" s="71">
        <f t="shared" si="46"/>
        <v>80836</v>
      </c>
      <c r="B1209">
        <f t="shared" ca="1" si="47"/>
        <v>577</v>
      </c>
      <c r="C1209" t="s">
        <v>40</v>
      </c>
    </row>
    <row r="1210" spans="1:3" x14ac:dyDescent="0.25">
      <c r="A1210" s="71">
        <f t="shared" si="46"/>
        <v>80866</v>
      </c>
      <c r="B1210">
        <f t="shared" ca="1" si="47"/>
        <v>577</v>
      </c>
      <c r="C1210" t="s">
        <v>40</v>
      </c>
    </row>
    <row r="1211" spans="1:3" x14ac:dyDescent="0.25">
      <c r="A1211" s="71">
        <f t="shared" si="46"/>
        <v>80896</v>
      </c>
      <c r="B1211">
        <f t="shared" ca="1" si="47"/>
        <v>577</v>
      </c>
      <c r="C1211" t="s">
        <v>40</v>
      </c>
    </row>
    <row r="1212" spans="1:3" x14ac:dyDescent="0.25">
      <c r="A1212" s="71">
        <f t="shared" si="46"/>
        <v>80926</v>
      </c>
      <c r="B1212">
        <f t="shared" ca="1" si="47"/>
        <v>577</v>
      </c>
      <c r="C1212" t="s">
        <v>40</v>
      </c>
    </row>
    <row r="1213" spans="1:3" x14ac:dyDescent="0.25">
      <c r="A1213" s="71">
        <f t="shared" si="46"/>
        <v>80956</v>
      </c>
      <c r="B1213">
        <f t="shared" ca="1" si="47"/>
        <v>577</v>
      </c>
      <c r="C1213" t="s">
        <v>40</v>
      </c>
    </row>
    <row r="1214" spans="1:3" x14ac:dyDescent="0.25">
      <c r="A1214" s="71">
        <f t="shared" si="46"/>
        <v>80986</v>
      </c>
      <c r="B1214">
        <f t="shared" ca="1" si="47"/>
        <v>577</v>
      </c>
      <c r="C1214" t="s">
        <v>40</v>
      </c>
    </row>
    <row r="1215" spans="1:3" x14ac:dyDescent="0.25">
      <c r="A1215" s="71">
        <f t="shared" si="46"/>
        <v>81016</v>
      </c>
      <c r="B1215">
        <f t="shared" ca="1" si="47"/>
        <v>577</v>
      </c>
      <c r="C1215" t="s">
        <v>40</v>
      </c>
    </row>
    <row r="1216" spans="1:3" x14ac:dyDescent="0.25">
      <c r="A1216" s="71">
        <f t="shared" si="46"/>
        <v>81046</v>
      </c>
      <c r="B1216">
        <f t="shared" ca="1" si="47"/>
        <v>577</v>
      </c>
      <c r="C1216" t="s">
        <v>40</v>
      </c>
    </row>
    <row r="1217" spans="1:3" x14ac:dyDescent="0.25">
      <c r="A1217" s="71">
        <f t="shared" si="46"/>
        <v>81076</v>
      </c>
      <c r="B1217">
        <f t="shared" ca="1" si="47"/>
        <v>577</v>
      </c>
      <c r="C1217" t="s">
        <v>40</v>
      </c>
    </row>
    <row r="1218" spans="1:3" x14ac:dyDescent="0.25">
      <c r="A1218" s="71">
        <f t="shared" si="46"/>
        <v>81106</v>
      </c>
      <c r="B1218">
        <f t="shared" ca="1" si="47"/>
        <v>577</v>
      </c>
      <c r="C1218" t="s">
        <v>40</v>
      </c>
    </row>
    <row r="1219" spans="1:3" x14ac:dyDescent="0.25">
      <c r="A1219" s="71">
        <f t="shared" si="46"/>
        <v>81136</v>
      </c>
      <c r="B1219">
        <f t="shared" ca="1" si="47"/>
        <v>577</v>
      </c>
      <c r="C1219" t="s">
        <v>40</v>
      </c>
    </row>
    <row r="1220" spans="1:3" x14ac:dyDescent="0.25">
      <c r="A1220" s="71">
        <f t="shared" si="46"/>
        <v>81166</v>
      </c>
      <c r="B1220">
        <f t="shared" ca="1" si="47"/>
        <v>577</v>
      </c>
      <c r="C1220" t="s">
        <v>40</v>
      </c>
    </row>
    <row r="1221" spans="1:3" x14ac:dyDescent="0.25">
      <c r="A1221" s="71">
        <f t="shared" si="46"/>
        <v>81196</v>
      </c>
      <c r="B1221">
        <f t="shared" ca="1" si="47"/>
        <v>577</v>
      </c>
      <c r="C1221" t="s">
        <v>40</v>
      </c>
    </row>
    <row r="1222" spans="1:3" x14ac:dyDescent="0.25">
      <c r="A1222" s="71">
        <f t="shared" si="46"/>
        <v>81226</v>
      </c>
      <c r="B1222">
        <f t="shared" ca="1" si="47"/>
        <v>577</v>
      </c>
      <c r="C1222" t="s">
        <v>40</v>
      </c>
    </row>
    <row r="1223" spans="1:3" x14ac:dyDescent="0.25">
      <c r="A1223" s="71">
        <f t="shared" si="46"/>
        <v>81256</v>
      </c>
      <c r="B1223">
        <f t="shared" ca="1" si="47"/>
        <v>577</v>
      </c>
      <c r="C1223" t="s">
        <v>40</v>
      </c>
    </row>
    <row r="1224" spans="1:3" x14ac:dyDescent="0.25">
      <c r="A1224" s="71">
        <f t="shared" si="46"/>
        <v>81286</v>
      </c>
      <c r="B1224">
        <f t="shared" ca="1" si="47"/>
        <v>577</v>
      </c>
      <c r="C1224" t="s">
        <v>40</v>
      </c>
    </row>
    <row r="1225" spans="1:3" x14ac:dyDescent="0.25">
      <c r="A1225" s="71">
        <f t="shared" si="46"/>
        <v>81316</v>
      </c>
      <c r="B1225">
        <f t="shared" ca="1" si="47"/>
        <v>577</v>
      </c>
      <c r="C1225" t="s">
        <v>40</v>
      </c>
    </row>
    <row r="1226" spans="1:3" x14ac:dyDescent="0.25">
      <c r="A1226" s="71">
        <f t="shared" si="46"/>
        <v>81346</v>
      </c>
      <c r="B1226">
        <f t="shared" ca="1" si="47"/>
        <v>577</v>
      </c>
      <c r="C1226" t="s">
        <v>40</v>
      </c>
    </row>
    <row r="1227" spans="1:3" x14ac:dyDescent="0.25">
      <c r="A1227" s="71">
        <f t="shared" si="46"/>
        <v>81376</v>
      </c>
      <c r="B1227">
        <f t="shared" ca="1" si="47"/>
        <v>577</v>
      </c>
      <c r="C1227" t="s">
        <v>40</v>
      </c>
    </row>
    <row r="1228" spans="1:3" x14ac:dyDescent="0.25">
      <c r="A1228" s="71">
        <f t="shared" ref="A1228:A1291" si="48">A1227+30</f>
        <v>81406</v>
      </c>
      <c r="B1228">
        <f t="shared" ref="B1228:B1291" ca="1" si="49">B1227</f>
        <v>577</v>
      </c>
      <c r="C1228" t="s">
        <v>40</v>
      </c>
    </row>
    <row r="1229" spans="1:3" x14ac:dyDescent="0.25">
      <c r="A1229" s="71">
        <f t="shared" si="48"/>
        <v>81436</v>
      </c>
      <c r="B1229">
        <f t="shared" ca="1" si="49"/>
        <v>577</v>
      </c>
      <c r="C1229" t="s">
        <v>40</v>
      </c>
    </row>
    <row r="1230" spans="1:3" x14ac:dyDescent="0.25">
      <c r="A1230" s="71">
        <f t="shared" si="48"/>
        <v>81466</v>
      </c>
      <c r="B1230">
        <f t="shared" ca="1" si="49"/>
        <v>577</v>
      </c>
      <c r="C1230" t="s">
        <v>40</v>
      </c>
    </row>
    <row r="1231" spans="1:3" x14ac:dyDescent="0.25">
      <c r="A1231" s="71">
        <f t="shared" si="48"/>
        <v>81496</v>
      </c>
      <c r="B1231">
        <f t="shared" ca="1" si="49"/>
        <v>577</v>
      </c>
      <c r="C1231" t="s">
        <v>40</v>
      </c>
    </row>
    <row r="1232" spans="1:3" x14ac:dyDescent="0.25">
      <c r="A1232" s="71">
        <f t="shared" si="48"/>
        <v>81526</v>
      </c>
      <c r="B1232">
        <f t="shared" ca="1" si="49"/>
        <v>577</v>
      </c>
      <c r="C1232" t="s">
        <v>40</v>
      </c>
    </row>
    <row r="1233" spans="1:3" x14ac:dyDescent="0.25">
      <c r="A1233" s="71">
        <f t="shared" si="48"/>
        <v>81556</v>
      </c>
      <c r="B1233">
        <f t="shared" ca="1" si="49"/>
        <v>577</v>
      </c>
      <c r="C1233" t="s">
        <v>40</v>
      </c>
    </row>
    <row r="1234" spans="1:3" x14ac:dyDescent="0.25">
      <c r="A1234" s="71">
        <f t="shared" si="48"/>
        <v>81586</v>
      </c>
      <c r="B1234">
        <f t="shared" ca="1" si="49"/>
        <v>577</v>
      </c>
      <c r="C1234" t="s">
        <v>40</v>
      </c>
    </row>
    <row r="1235" spans="1:3" x14ac:dyDescent="0.25">
      <c r="A1235" s="71">
        <f t="shared" si="48"/>
        <v>81616</v>
      </c>
      <c r="B1235">
        <f t="shared" ca="1" si="49"/>
        <v>577</v>
      </c>
      <c r="C1235" t="s">
        <v>40</v>
      </c>
    </row>
    <row r="1236" spans="1:3" x14ac:dyDescent="0.25">
      <c r="A1236" s="71">
        <f t="shared" si="48"/>
        <v>81646</v>
      </c>
      <c r="B1236">
        <f t="shared" ca="1" si="49"/>
        <v>577</v>
      </c>
      <c r="C1236" t="s">
        <v>40</v>
      </c>
    </row>
    <row r="1237" spans="1:3" x14ac:dyDescent="0.25">
      <c r="A1237" s="71">
        <f t="shared" si="48"/>
        <v>81676</v>
      </c>
      <c r="B1237">
        <f t="shared" ca="1" si="49"/>
        <v>577</v>
      </c>
      <c r="C1237" t="s">
        <v>40</v>
      </c>
    </row>
    <row r="1238" spans="1:3" x14ac:dyDescent="0.25">
      <c r="A1238" s="71">
        <f t="shared" si="48"/>
        <v>81706</v>
      </c>
      <c r="B1238">
        <f t="shared" ca="1" si="49"/>
        <v>577</v>
      </c>
      <c r="C1238" t="s">
        <v>40</v>
      </c>
    </row>
    <row r="1239" spans="1:3" x14ac:dyDescent="0.25">
      <c r="A1239" s="71">
        <f t="shared" si="48"/>
        <v>81736</v>
      </c>
      <c r="B1239">
        <f t="shared" ca="1" si="49"/>
        <v>577</v>
      </c>
      <c r="C1239" t="s">
        <v>40</v>
      </c>
    </row>
    <row r="1240" spans="1:3" x14ac:dyDescent="0.25">
      <c r="A1240" s="71">
        <f t="shared" si="48"/>
        <v>81766</v>
      </c>
      <c r="B1240">
        <f t="shared" ca="1" si="49"/>
        <v>577</v>
      </c>
      <c r="C1240" t="s">
        <v>40</v>
      </c>
    </row>
    <row r="1241" spans="1:3" x14ac:dyDescent="0.25">
      <c r="A1241" s="71">
        <f t="shared" si="48"/>
        <v>81796</v>
      </c>
      <c r="B1241">
        <f t="shared" ca="1" si="49"/>
        <v>577</v>
      </c>
      <c r="C1241" t="s">
        <v>40</v>
      </c>
    </row>
    <row r="1242" spans="1:3" x14ac:dyDescent="0.25">
      <c r="A1242" s="71">
        <f t="shared" si="48"/>
        <v>81826</v>
      </c>
      <c r="B1242">
        <f t="shared" ca="1" si="49"/>
        <v>577</v>
      </c>
      <c r="C1242" t="s">
        <v>40</v>
      </c>
    </row>
    <row r="1243" spans="1:3" x14ac:dyDescent="0.25">
      <c r="A1243" s="71">
        <f t="shared" si="48"/>
        <v>81856</v>
      </c>
      <c r="B1243">
        <f t="shared" ca="1" si="49"/>
        <v>577</v>
      </c>
      <c r="C1243" t="s">
        <v>40</v>
      </c>
    </row>
    <row r="1244" spans="1:3" x14ac:dyDescent="0.25">
      <c r="A1244" s="71">
        <f t="shared" si="48"/>
        <v>81886</v>
      </c>
      <c r="B1244">
        <f t="shared" ca="1" si="49"/>
        <v>577</v>
      </c>
      <c r="C1244" t="s">
        <v>40</v>
      </c>
    </row>
    <row r="1245" spans="1:3" x14ac:dyDescent="0.25">
      <c r="A1245" s="71">
        <f t="shared" si="48"/>
        <v>81916</v>
      </c>
      <c r="B1245">
        <f t="shared" ca="1" si="49"/>
        <v>577</v>
      </c>
      <c r="C1245" t="s">
        <v>40</v>
      </c>
    </row>
    <row r="1246" spans="1:3" x14ac:dyDescent="0.25">
      <c r="A1246" s="71">
        <f t="shared" si="48"/>
        <v>81946</v>
      </c>
      <c r="B1246">
        <f t="shared" ca="1" si="49"/>
        <v>577</v>
      </c>
      <c r="C1246" t="s">
        <v>40</v>
      </c>
    </row>
    <row r="1247" spans="1:3" x14ac:dyDescent="0.25">
      <c r="A1247" s="71">
        <f t="shared" si="48"/>
        <v>81976</v>
      </c>
      <c r="B1247">
        <f t="shared" ca="1" si="49"/>
        <v>577</v>
      </c>
      <c r="C1247" t="s">
        <v>40</v>
      </c>
    </row>
    <row r="1248" spans="1:3" x14ac:dyDescent="0.25">
      <c r="A1248" s="71">
        <f t="shared" si="48"/>
        <v>82006</v>
      </c>
      <c r="B1248">
        <f t="shared" ca="1" si="49"/>
        <v>577</v>
      </c>
      <c r="C1248" t="s">
        <v>40</v>
      </c>
    </row>
    <row r="1249" spans="1:3" x14ac:dyDescent="0.25">
      <c r="A1249" s="71">
        <f t="shared" si="48"/>
        <v>82036</v>
      </c>
      <c r="B1249">
        <f t="shared" ca="1" si="49"/>
        <v>577</v>
      </c>
      <c r="C1249" t="s">
        <v>40</v>
      </c>
    </row>
    <row r="1250" spans="1:3" x14ac:dyDescent="0.25">
      <c r="A1250" s="71">
        <f t="shared" si="48"/>
        <v>82066</v>
      </c>
      <c r="B1250">
        <f t="shared" ca="1" si="49"/>
        <v>577</v>
      </c>
      <c r="C1250" t="s">
        <v>40</v>
      </c>
    </row>
    <row r="1251" spans="1:3" x14ac:dyDescent="0.25">
      <c r="A1251" s="71">
        <f t="shared" si="48"/>
        <v>82096</v>
      </c>
      <c r="B1251">
        <f t="shared" ca="1" si="49"/>
        <v>577</v>
      </c>
      <c r="C1251" t="s">
        <v>40</v>
      </c>
    </row>
    <row r="1252" spans="1:3" x14ac:dyDescent="0.25">
      <c r="A1252" s="71">
        <f t="shared" si="48"/>
        <v>82126</v>
      </c>
      <c r="B1252">
        <f t="shared" ca="1" si="49"/>
        <v>577</v>
      </c>
      <c r="C1252" t="s">
        <v>40</v>
      </c>
    </row>
    <row r="1253" spans="1:3" x14ac:dyDescent="0.25">
      <c r="A1253" s="71">
        <f t="shared" si="48"/>
        <v>82156</v>
      </c>
      <c r="B1253">
        <f t="shared" ca="1" si="49"/>
        <v>577</v>
      </c>
      <c r="C1253" t="s">
        <v>40</v>
      </c>
    </row>
    <row r="1254" spans="1:3" x14ac:dyDescent="0.25">
      <c r="A1254" s="71">
        <f t="shared" si="48"/>
        <v>82186</v>
      </c>
      <c r="B1254">
        <f t="shared" ca="1" si="49"/>
        <v>577</v>
      </c>
      <c r="C1254" t="s">
        <v>40</v>
      </c>
    </row>
    <row r="1255" spans="1:3" x14ac:dyDescent="0.25">
      <c r="A1255" s="71">
        <f t="shared" si="48"/>
        <v>82216</v>
      </c>
      <c r="B1255">
        <f t="shared" ca="1" si="49"/>
        <v>577</v>
      </c>
      <c r="C1255" t="s">
        <v>40</v>
      </c>
    </row>
    <row r="1256" spans="1:3" x14ac:dyDescent="0.25">
      <c r="A1256" s="71">
        <f t="shared" si="48"/>
        <v>82246</v>
      </c>
      <c r="B1256">
        <f t="shared" ca="1" si="49"/>
        <v>577</v>
      </c>
      <c r="C1256" t="s">
        <v>40</v>
      </c>
    </row>
    <row r="1257" spans="1:3" x14ac:dyDescent="0.25">
      <c r="A1257" s="71">
        <f t="shared" si="48"/>
        <v>82276</v>
      </c>
      <c r="B1257">
        <f t="shared" ca="1" si="49"/>
        <v>577</v>
      </c>
      <c r="C1257" t="s">
        <v>40</v>
      </c>
    </row>
    <row r="1258" spans="1:3" x14ac:dyDescent="0.25">
      <c r="A1258" s="71">
        <f t="shared" si="48"/>
        <v>82306</v>
      </c>
      <c r="B1258">
        <f t="shared" ca="1" si="49"/>
        <v>577</v>
      </c>
      <c r="C1258" t="s">
        <v>40</v>
      </c>
    </row>
    <row r="1259" spans="1:3" x14ac:dyDescent="0.25">
      <c r="A1259" s="71">
        <f t="shared" si="48"/>
        <v>82336</v>
      </c>
      <c r="B1259">
        <f t="shared" ca="1" si="49"/>
        <v>577</v>
      </c>
      <c r="C1259" t="s">
        <v>40</v>
      </c>
    </row>
    <row r="1260" spans="1:3" x14ac:dyDescent="0.25">
      <c r="A1260" s="71">
        <f t="shared" si="48"/>
        <v>82366</v>
      </c>
      <c r="B1260">
        <f t="shared" ca="1" si="49"/>
        <v>577</v>
      </c>
      <c r="C1260" t="s">
        <v>40</v>
      </c>
    </row>
    <row r="1261" spans="1:3" x14ac:dyDescent="0.25">
      <c r="A1261" s="71">
        <f t="shared" si="48"/>
        <v>82396</v>
      </c>
      <c r="B1261">
        <f t="shared" ca="1" si="49"/>
        <v>577</v>
      </c>
      <c r="C1261" t="s">
        <v>40</v>
      </c>
    </row>
    <row r="1262" spans="1:3" x14ac:dyDescent="0.25">
      <c r="A1262" s="71">
        <f t="shared" si="48"/>
        <v>82426</v>
      </c>
      <c r="B1262">
        <f t="shared" ca="1" si="49"/>
        <v>577</v>
      </c>
      <c r="C1262" t="s">
        <v>40</v>
      </c>
    </row>
    <row r="1263" spans="1:3" x14ac:dyDescent="0.25">
      <c r="A1263" s="71">
        <f t="shared" si="48"/>
        <v>82456</v>
      </c>
      <c r="B1263">
        <f t="shared" ca="1" si="49"/>
        <v>577</v>
      </c>
      <c r="C1263" t="s">
        <v>40</v>
      </c>
    </row>
    <row r="1264" spans="1:3" x14ac:dyDescent="0.25">
      <c r="A1264" s="71">
        <f t="shared" si="48"/>
        <v>82486</v>
      </c>
      <c r="B1264">
        <f t="shared" ca="1" si="49"/>
        <v>577</v>
      </c>
      <c r="C1264" t="s">
        <v>40</v>
      </c>
    </row>
    <row r="1265" spans="1:3" x14ac:dyDescent="0.25">
      <c r="A1265" s="71">
        <f t="shared" si="48"/>
        <v>82516</v>
      </c>
      <c r="B1265">
        <f t="shared" ca="1" si="49"/>
        <v>577</v>
      </c>
      <c r="C1265" t="s">
        <v>40</v>
      </c>
    </row>
    <row r="1266" spans="1:3" x14ac:dyDescent="0.25">
      <c r="A1266" s="71">
        <f t="shared" si="48"/>
        <v>82546</v>
      </c>
      <c r="B1266">
        <f t="shared" ca="1" si="49"/>
        <v>577</v>
      </c>
      <c r="C1266" t="s">
        <v>40</v>
      </c>
    </row>
    <row r="1267" spans="1:3" x14ac:dyDescent="0.25">
      <c r="A1267" s="71">
        <f t="shared" si="48"/>
        <v>82576</v>
      </c>
      <c r="B1267">
        <f t="shared" ca="1" si="49"/>
        <v>577</v>
      </c>
      <c r="C1267" t="s">
        <v>40</v>
      </c>
    </row>
    <row r="1268" spans="1:3" x14ac:dyDescent="0.25">
      <c r="A1268" s="71">
        <f t="shared" si="48"/>
        <v>82606</v>
      </c>
      <c r="B1268">
        <f t="shared" ca="1" si="49"/>
        <v>577</v>
      </c>
      <c r="C1268" t="s">
        <v>40</v>
      </c>
    </row>
    <row r="1269" spans="1:3" x14ac:dyDescent="0.25">
      <c r="A1269" s="71">
        <f t="shared" si="48"/>
        <v>82636</v>
      </c>
      <c r="B1269">
        <f t="shared" ca="1" si="49"/>
        <v>577</v>
      </c>
      <c r="C1269" t="s">
        <v>40</v>
      </c>
    </row>
    <row r="1270" spans="1:3" x14ac:dyDescent="0.25">
      <c r="A1270" s="71">
        <f t="shared" si="48"/>
        <v>82666</v>
      </c>
      <c r="B1270">
        <f t="shared" ca="1" si="49"/>
        <v>577</v>
      </c>
      <c r="C1270" t="s">
        <v>40</v>
      </c>
    </row>
    <row r="1271" spans="1:3" x14ac:dyDescent="0.25">
      <c r="A1271" s="71">
        <f t="shared" si="48"/>
        <v>82696</v>
      </c>
      <c r="B1271">
        <f t="shared" ca="1" si="49"/>
        <v>577</v>
      </c>
      <c r="C1271" t="s">
        <v>40</v>
      </c>
    </row>
    <row r="1272" spans="1:3" x14ac:dyDescent="0.25">
      <c r="A1272" s="71">
        <f t="shared" si="48"/>
        <v>82726</v>
      </c>
      <c r="B1272">
        <f t="shared" ca="1" si="49"/>
        <v>577</v>
      </c>
      <c r="C1272" t="s">
        <v>40</v>
      </c>
    </row>
    <row r="1273" spans="1:3" x14ac:dyDescent="0.25">
      <c r="A1273" s="71">
        <f t="shared" si="48"/>
        <v>82756</v>
      </c>
      <c r="B1273">
        <f t="shared" ca="1" si="49"/>
        <v>577</v>
      </c>
      <c r="C1273" t="s">
        <v>40</v>
      </c>
    </row>
    <row r="1274" spans="1:3" x14ac:dyDescent="0.25">
      <c r="A1274" s="71">
        <f t="shared" si="48"/>
        <v>82786</v>
      </c>
      <c r="B1274">
        <f t="shared" ca="1" si="49"/>
        <v>577</v>
      </c>
      <c r="C1274" t="s">
        <v>40</v>
      </c>
    </row>
    <row r="1275" spans="1:3" x14ac:dyDescent="0.25">
      <c r="A1275" s="71">
        <f t="shared" si="48"/>
        <v>82816</v>
      </c>
      <c r="B1275">
        <f t="shared" ca="1" si="49"/>
        <v>577</v>
      </c>
      <c r="C1275" t="s">
        <v>40</v>
      </c>
    </row>
    <row r="1276" spans="1:3" x14ac:dyDescent="0.25">
      <c r="A1276" s="71">
        <f t="shared" si="48"/>
        <v>82846</v>
      </c>
      <c r="B1276">
        <f t="shared" ca="1" si="49"/>
        <v>577</v>
      </c>
      <c r="C1276" t="s">
        <v>40</v>
      </c>
    </row>
    <row r="1277" spans="1:3" x14ac:dyDescent="0.25">
      <c r="A1277" s="71">
        <f t="shared" si="48"/>
        <v>82876</v>
      </c>
      <c r="B1277">
        <f t="shared" ca="1" si="49"/>
        <v>577</v>
      </c>
      <c r="C1277" t="s">
        <v>40</v>
      </c>
    </row>
    <row r="1278" spans="1:3" x14ac:dyDescent="0.25">
      <c r="A1278" s="71">
        <f t="shared" si="48"/>
        <v>82906</v>
      </c>
      <c r="B1278">
        <f t="shared" ca="1" si="49"/>
        <v>577</v>
      </c>
      <c r="C1278" t="s">
        <v>40</v>
      </c>
    </row>
    <row r="1279" spans="1:3" x14ac:dyDescent="0.25">
      <c r="A1279" s="71">
        <f t="shared" si="48"/>
        <v>82936</v>
      </c>
      <c r="B1279">
        <f t="shared" ca="1" si="49"/>
        <v>577</v>
      </c>
      <c r="C1279" t="s">
        <v>40</v>
      </c>
    </row>
    <row r="1280" spans="1:3" x14ac:dyDescent="0.25">
      <c r="A1280" s="71">
        <f t="shared" si="48"/>
        <v>82966</v>
      </c>
      <c r="B1280">
        <f t="shared" ca="1" si="49"/>
        <v>577</v>
      </c>
      <c r="C1280" t="s">
        <v>40</v>
      </c>
    </row>
    <row r="1281" spans="1:3" x14ac:dyDescent="0.25">
      <c r="A1281" s="71">
        <f t="shared" si="48"/>
        <v>82996</v>
      </c>
      <c r="B1281">
        <f t="shared" ca="1" si="49"/>
        <v>577</v>
      </c>
      <c r="C1281" t="s">
        <v>40</v>
      </c>
    </row>
    <row r="1282" spans="1:3" x14ac:dyDescent="0.25">
      <c r="A1282" s="71">
        <f t="shared" si="48"/>
        <v>83026</v>
      </c>
      <c r="B1282">
        <f t="shared" ca="1" si="49"/>
        <v>577</v>
      </c>
      <c r="C1282" t="s">
        <v>40</v>
      </c>
    </row>
    <row r="1283" spans="1:3" x14ac:dyDescent="0.25">
      <c r="A1283" s="71">
        <f t="shared" si="48"/>
        <v>83056</v>
      </c>
      <c r="B1283">
        <f t="shared" ca="1" si="49"/>
        <v>577</v>
      </c>
      <c r="C1283" t="s">
        <v>40</v>
      </c>
    </row>
    <row r="1284" spans="1:3" x14ac:dyDescent="0.25">
      <c r="A1284" s="71">
        <f t="shared" si="48"/>
        <v>83086</v>
      </c>
      <c r="B1284">
        <f t="shared" ca="1" si="49"/>
        <v>577</v>
      </c>
      <c r="C1284" t="s">
        <v>40</v>
      </c>
    </row>
    <row r="1285" spans="1:3" x14ac:dyDescent="0.25">
      <c r="A1285" s="71">
        <f t="shared" si="48"/>
        <v>83116</v>
      </c>
      <c r="B1285">
        <f t="shared" ca="1" si="49"/>
        <v>577</v>
      </c>
      <c r="C1285" t="s">
        <v>40</v>
      </c>
    </row>
    <row r="1286" spans="1:3" x14ac:dyDescent="0.25">
      <c r="A1286" s="71">
        <f t="shared" si="48"/>
        <v>83146</v>
      </c>
      <c r="B1286">
        <f t="shared" ca="1" si="49"/>
        <v>577</v>
      </c>
      <c r="C1286" t="s">
        <v>40</v>
      </c>
    </row>
    <row r="1287" spans="1:3" x14ac:dyDescent="0.25">
      <c r="A1287" s="71">
        <f t="shared" si="48"/>
        <v>83176</v>
      </c>
      <c r="B1287">
        <f t="shared" ca="1" si="49"/>
        <v>577</v>
      </c>
      <c r="C1287" t="s">
        <v>40</v>
      </c>
    </row>
    <row r="1288" spans="1:3" x14ac:dyDescent="0.25">
      <c r="A1288" s="71">
        <f t="shared" si="48"/>
        <v>83206</v>
      </c>
      <c r="B1288">
        <f t="shared" ca="1" si="49"/>
        <v>577</v>
      </c>
      <c r="C1288" t="s">
        <v>40</v>
      </c>
    </row>
    <row r="1289" spans="1:3" x14ac:dyDescent="0.25">
      <c r="A1289" s="71">
        <f t="shared" si="48"/>
        <v>83236</v>
      </c>
      <c r="B1289">
        <f t="shared" ca="1" si="49"/>
        <v>577</v>
      </c>
      <c r="C1289" t="s">
        <v>40</v>
      </c>
    </row>
    <row r="1290" spans="1:3" x14ac:dyDescent="0.25">
      <c r="A1290" s="71">
        <f t="shared" si="48"/>
        <v>83266</v>
      </c>
      <c r="B1290">
        <f t="shared" ca="1" si="49"/>
        <v>577</v>
      </c>
      <c r="C1290" t="s">
        <v>40</v>
      </c>
    </row>
    <row r="1291" spans="1:3" x14ac:dyDescent="0.25">
      <c r="A1291" s="71">
        <f t="shared" si="48"/>
        <v>83296</v>
      </c>
      <c r="B1291">
        <f t="shared" ca="1" si="49"/>
        <v>577</v>
      </c>
      <c r="C1291" t="s">
        <v>40</v>
      </c>
    </row>
    <row r="1292" spans="1:3" x14ac:dyDescent="0.25">
      <c r="A1292" s="71">
        <f t="shared" ref="A1292:A1355" si="50">A1291+30</f>
        <v>83326</v>
      </c>
      <c r="B1292">
        <f t="shared" ref="B1292:B1355" ca="1" si="51">B1291</f>
        <v>577</v>
      </c>
      <c r="C1292" t="s">
        <v>40</v>
      </c>
    </row>
    <row r="1293" spans="1:3" x14ac:dyDescent="0.25">
      <c r="A1293" s="71">
        <f t="shared" si="50"/>
        <v>83356</v>
      </c>
      <c r="B1293">
        <f t="shared" ca="1" si="51"/>
        <v>577</v>
      </c>
      <c r="C1293" t="s">
        <v>40</v>
      </c>
    </row>
    <row r="1294" spans="1:3" x14ac:dyDescent="0.25">
      <c r="A1294" s="71">
        <f t="shared" si="50"/>
        <v>83386</v>
      </c>
      <c r="B1294">
        <f t="shared" ca="1" si="51"/>
        <v>577</v>
      </c>
      <c r="C1294" t="s">
        <v>40</v>
      </c>
    </row>
    <row r="1295" spans="1:3" x14ac:dyDescent="0.25">
      <c r="A1295" s="71">
        <f t="shared" si="50"/>
        <v>83416</v>
      </c>
      <c r="B1295">
        <f t="shared" ca="1" si="51"/>
        <v>577</v>
      </c>
      <c r="C1295" t="s">
        <v>40</v>
      </c>
    </row>
    <row r="1296" spans="1:3" x14ac:dyDescent="0.25">
      <c r="A1296" s="71">
        <f t="shared" si="50"/>
        <v>83446</v>
      </c>
      <c r="B1296">
        <f t="shared" ca="1" si="51"/>
        <v>577</v>
      </c>
      <c r="C1296" t="s">
        <v>40</v>
      </c>
    </row>
    <row r="1297" spans="1:3" x14ac:dyDescent="0.25">
      <c r="A1297" s="71">
        <f t="shared" si="50"/>
        <v>83476</v>
      </c>
      <c r="B1297">
        <f t="shared" ca="1" si="51"/>
        <v>577</v>
      </c>
      <c r="C1297" t="s">
        <v>40</v>
      </c>
    </row>
    <row r="1298" spans="1:3" x14ac:dyDescent="0.25">
      <c r="A1298" s="71">
        <f t="shared" si="50"/>
        <v>83506</v>
      </c>
      <c r="B1298">
        <f t="shared" ca="1" si="51"/>
        <v>577</v>
      </c>
      <c r="C1298" t="s">
        <v>40</v>
      </c>
    </row>
    <row r="1299" spans="1:3" x14ac:dyDescent="0.25">
      <c r="A1299" s="71">
        <f t="shared" si="50"/>
        <v>83536</v>
      </c>
      <c r="B1299">
        <f t="shared" ca="1" si="51"/>
        <v>577</v>
      </c>
      <c r="C1299" t="s">
        <v>40</v>
      </c>
    </row>
    <row r="1300" spans="1:3" x14ac:dyDescent="0.25">
      <c r="A1300" s="71">
        <f t="shared" si="50"/>
        <v>83566</v>
      </c>
      <c r="B1300">
        <f t="shared" ca="1" si="51"/>
        <v>577</v>
      </c>
      <c r="C1300" t="s">
        <v>40</v>
      </c>
    </row>
    <row r="1301" spans="1:3" x14ac:dyDescent="0.25">
      <c r="A1301" s="71">
        <f t="shared" si="50"/>
        <v>83596</v>
      </c>
      <c r="B1301">
        <f t="shared" ca="1" si="51"/>
        <v>577</v>
      </c>
      <c r="C1301" t="s">
        <v>40</v>
      </c>
    </row>
    <row r="1302" spans="1:3" x14ac:dyDescent="0.25">
      <c r="A1302" s="71">
        <f t="shared" si="50"/>
        <v>83626</v>
      </c>
      <c r="B1302">
        <f t="shared" ca="1" si="51"/>
        <v>577</v>
      </c>
      <c r="C1302" t="s">
        <v>40</v>
      </c>
    </row>
    <row r="1303" spans="1:3" x14ac:dyDescent="0.25">
      <c r="A1303" s="71">
        <f t="shared" si="50"/>
        <v>83656</v>
      </c>
      <c r="B1303">
        <f t="shared" ca="1" si="51"/>
        <v>577</v>
      </c>
      <c r="C1303" t="s">
        <v>40</v>
      </c>
    </row>
    <row r="1304" spans="1:3" x14ac:dyDescent="0.25">
      <c r="A1304" s="71">
        <f t="shared" si="50"/>
        <v>83686</v>
      </c>
      <c r="B1304">
        <f t="shared" ca="1" si="51"/>
        <v>577</v>
      </c>
      <c r="C1304" t="s">
        <v>40</v>
      </c>
    </row>
    <row r="1305" spans="1:3" x14ac:dyDescent="0.25">
      <c r="A1305" s="71">
        <f t="shared" si="50"/>
        <v>83716</v>
      </c>
      <c r="B1305">
        <f t="shared" ca="1" si="51"/>
        <v>577</v>
      </c>
      <c r="C1305" t="s">
        <v>40</v>
      </c>
    </row>
    <row r="1306" spans="1:3" x14ac:dyDescent="0.25">
      <c r="A1306" s="71">
        <f t="shared" si="50"/>
        <v>83746</v>
      </c>
      <c r="B1306">
        <f t="shared" ca="1" si="51"/>
        <v>577</v>
      </c>
      <c r="C1306" t="s">
        <v>40</v>
      </c>
    </row>
    <row r="1307" spans="1:3" x14ac:dyDescent="0.25">
      <c r="A1307" s="71">
        <f t="shared" si="50"/>
        <v>83776</v>
      </c>
      <c r="B1307">
        <f t="shared" ca="1" si="51"/>
        <v>577</v>
      </c>
      <c r="C1307" t="s">
        <v>40</v>
      </c>
    </row>
    <row r="1308" spans="1:3" x14ac:dyDescent="0.25">
      <c r="A1308" s="71">
        <f t="shared" si="50"/>
        <v>83806</v>
      </c>
      <c r="B1308">
        <f t="shared" ca="1" si="51"/>
        <v>577</v>
      </c>
      <c r="C1308" t="s">
        <v>40</v>
      </c>
    </row>
    <row r="1309" spans="1:3" x14ac:dyDescent="0.25">
      <c r="A1309" s="71">
        <f t="shared" si="50"/>
        <v>83836</v>
      </c>
      <c r="B1309">
        <f t="shared" ca="1" si="51"/>
        <v>577</v>
      </c>
      <c r="C1309" t="s">
        <v>40</v>
      </c>
    </row>
    <row r="1310" spans="1:3" x14ac:dyDescent="0.25">
      <c r="A1310" s="71">
        <f t="shared" si="50"/>
        <v>83866</v>
      </c>
      <c r="B1310">
        <f t="shared" ca="1" si="51"/>
        <v>577</v>
      </c>
      <c r="C1310" t="s">
        <v>40</v>
      </c>
    </row>
    <row r="1311" spans="1:3" x14ac:dyDescent="0.25">
      <c r="A1311" s="71">
        <f t="shared" si="50"/>
        <v>83896</v>
      </c>
      <c r="B1311">
        <f t="shared" ca="1" si="51"/>
        <v>577</v>
      </c>
      <c r="C1311" t="s">
        <v>40</v>
      </c>
    </row>
    <row r="1312" spans="1:3" x14ac:dyDescent="0.25">
      <c r="A1312" s="71">
        <f t="shared" si="50"/>
        <v>83926</v>
      </c>
      <c r="B1312">
        <f t="shared" ca="1" si="51"/>
        <v>577</v>
      </c>
      <c r="C1312" t="s">
        <v>40</v>
      </c>
    </row>
    <row r="1313" spans="1:3" x14ac:dyDescent="0.25">
      <c r="A1313" s="71">
        <f t="shared" si="50"/>
        <v>83956</v>
      </c>
      <c r="B1313">
        <f t="shared" ca="1" si="51"/>
        <v>577</v>
      </c>
      <c r="C1313" t="s">
        <v>40</v>
      </c>
    </row>
    <row r="1314" spans="1:3" x14ac:dyDescent="0.25">
      <c r="A1314" s="71">
        <f t="shared" si="50"/>
        <v>83986</v>
      </c>
      <c r="B1314">
        <f t="shared" ca="1" si="51"/>
        <v>577</v>
      </c>
      <c r="C1314" t="s">
        <v>40</v>
      </c>
    </row>
    <row r="1315" spans="1:3" x14ac:dyDescent="0.25">
      <c r="A1315" s="71">
        <f t="shared" si="50"/>
        <v>84016</v>
      </c>
      <c r="B1315">
        <f t="shared" ca="1" si="51"/>
        <v>577</v>
      </c>
      <c r="C1315" t="s">
        <v>40</v>
      </c>
    </row>
    <row r="1316" spans="1:3" x14ac:dyDescent="0.25">
      <c r="A1316" s="71">
        <f t="shared" si="50"/>
        <v>84046</v>
      </c>
      <c r="B1316">
        <f t="shared" ca="1" si="51"/>
        <v>577</v>
      </c>
      <c r="C1316" t="s">
        <v>40</v>
      </c>
    </row>
    <row r="1317" spans="1:3" x14ac:dyDescent="0.25">
      <c r="A1317" s="71">
        <f t="shared" si="50"/>
        <v>84076</v>
      </c>
      <c r="B1317">
        <f t="shared" ca="1" si="51"/>
        <v>577</v>
      </c>
      <c r="C1317" t="s">
        <v>40</v>
      </c>
    </row>
    <row r="1318" spans="1:3" x14ac:dyDescent="0.25">
      <c r="A1318" s="71">
        <f t="shared" si="50"/>
        <v>84106</v>
      </c>
      <c r="B1318">
        <f t="shared" ca="1" si="51"/>
        <v>577</v>
      </c>
      <c r="C1318" t="s">
        <v>40</v>
      </c>
    </row>
    <row r="1319" spans="1:3" x14ac:dyDescent="0.25">
      <c r="A1319" s="71">
        <f t="shared" si="50"/>
        <v>84136</v>
      </c>
      <c r="B1319">
        <f t="shared" ca="1" si="51"/>
        <v>577</v>
      </c>
      <c r="C1319" t="s">
        <v>40</v>
      </c>
    </row>
    <row r="1320" spans="1:3" x14ac:dyDescent="0.25">
      <c r="A1320" s="71">
        <f t="shared" si="50"/>
        <v>84166</v>
      </c>
      <c r="B1320">
        <f t="shared" ca="1" si="51"/>
        <v>577</v>
      </c>
      <c r="C1320" t="s">
        <v>40</v>
      </c>
    </row>
    <row r="1321" spans="1:3" x14ac:dyDescent="0.25">
      <c r="A1321" s="71">
        <f t="shared" si="50"/>
        <v>84196</v>
      </c>
      <c r="B1321">
        <f t="shared" ca="1" si="51"/>
        <v>577</v>
      </c>
      <c r="C1321" t="s">
        <v>40</v>
      </c>
    </row>
    <row r="1322" spans="1:3" x14ac:dyDescent="0.25">
      <c r="A1322" s="71">
        <f t="shared" si="50"/>
        <v>84226</v>
      </c>
      <c r="B1322">
        <f t="shared" ca="1" si="51"/>
        <v>577</v>
      </c>
      <c r="C1322" t="s">
        <v>40</v>
      </c>
    </row>
    <row r="1323" spans="1:3" x14ac:dyDescent="0.25">
      <c r="A1323" s="71">
        <f t="shared" si="50"/>
        <v>84256</v>
      </c>
      <c r="B1323">
        <f t="shared" ca="1" si="51"/>
        <v>577</v>
      </c>
      <c r="C1323" t="s">
        <v>40</v>
      </c>
    </row>
    <row r="1324" spans="1:3" x14ac:dyDescent="0.25">
      <c r="A1324" s="71">
        <f t="shared" si="50"/>
        <v>84286</v>
      </c>
      <c r="B1324">
        <f t="shared" ca="1" si="51"/>
        <v>577</v>
      </c>
      <c r="C1324" t="s">
        <v>40</v>
      </c>
    </row>
    <row r="1325" spans="1:3" x14ac:dyDescent="0.25">
      <c r="A1325" s="71">
        <f t="shared" si="50"/>
        <v>84316</v>
      </c>
      <c r="B1325">
        <f t="shared" ca="1" si="51"/>
        <v>577</v>
      </c>
      <c r="C1325" t="s">
        <v>40</v>
      </c>
    </row>
    <row r="1326" spans="1:3" x14ac:dyDescent="0.25">
      <c r="A1326" s="71">
        <f t="shared" si="50"/>
        <v>84346</v>
      </c>
      <c r="B1326">
        <f t="shared" ca="1" si="51"/>
        <v>577</v>
      </c>
      <c r="C1326" t="s">
        <v>40</v>
      </c>
    </row>
    <row r="1327" spans="1:3" x14ac:dyDescent="0.25">
      <c r="A1327" s="71">
        <f t="shared" si="50"/>
        <v>84376</v>
      </c>
      <c r="B1327">
        <f t="shared" ca="1" si="51"/>
        <v>577</v>
      </c>
      <c r="C1327" t="s">
        <v>40</v>
      </c>
    </row>
    <row r="1328" spans="1:3" x14ac:dyDescent="0.25">
      <c r="A1328" s="71">
        <f t="shared" si="50"/>
        <v>84406</v>
      </c>
      <c r="B1328">
        <f t="shared" ca="1" si="51"/>
        <v>577</v>
      </c>
      <c r="C1328" t="s">
        <v>40</v>
      </c>
    </row>
    <row r="1329" spans="1:3" x14ac:dyDescent="0.25">
      <c r="A1329" s="71">
        <f t="shared" si="50"/>
        <v>84436</v>
      </c>
      <c r="B1329">
        <f t="shared" ca="1" si="51"/>
        <v>577</v>
      </c>
      <c r="C1329" t="s">
        <v>40</v>
      </c>
    </row>
    <row r="1330" spans="1:3" x14ac:dyDescent="0.25">
      <c r="A1330" s="71">
        <f t="shared" si="50"/>
        <v>84466</v>
      </c>
      <c r="B1330">
        <f t="shared" ca="1" si="51"/>
        <v>577</v>
      </c>
      <c r="C1330" t="s">
        <v>40</v>
      </c>
    </row>
    <row r="1331" spans="1:3" x14ac:dyDescent="0.25">
      <c r="A1331" s="71">
        <f t="shared" si="50"/>
        <v>84496</v>
      </c>
      <c r="B1331">
        <f t="shared" ca="1" si="51"/>
        <v>577</v>
      </c>
      <c r="C1331" t="s">
        <v>40</v>
      </c>
    </row>
    <row r="1332" spans="1:3" x14ac:dyDescent="0.25">
      <c r="A1332" s="71">
        <f t="shared" si="50"/>
        <v>84526</v>
      </c>
      <c r="B1332">
        <f t="shared" ca="1" si="51"/>
        <v>577</v>
      </c>
      <c r="C1332" t="s">
        <v>40</v>
      </c>
    </row>
    <row r="1333" spans="1:3" x14ac:dyDescent="0.25">
      <c r="A1333" s="71">
        <f t="shared" si="50"/>
        <v>84556</v>
      </c>
      <c r="B1333">
        <f t="shared" ca="1" si="51"/>
        <v>577</v>
      </c>
      <c r="C1333" t="s">
        <v>40</v>
      </c>
    </row>
    <row r="1334" spans="1:3" x14ac:dyDescent="0.25">
      <c r="A1334" s="71">
        <f t="shared" si="50"/>
        <v>84586</v>
      </c>
      <c r="B1334">
        <f t="shared" ca="1" si="51"/>
        <v>577</v>
      </c>
      <c r="C1334" t="s">
        <v>40</v>
      </c>
    </row>
    <row r="1335" spans="1:3" x14ac:dyDescent="0.25">
      <c r="A1335" s="71">
        <f t="shared" si="50"/>
        <v>84616</v>
      </c>
      <c r="B1335">
        <f t="shared" ca="1" si="51"/>
        <v>577</v>
      </c>
      <c r="C1335" t="s">
        <v>40</v>
      </c>
    </row>
    <row r="1336" spans="1:3" x14ac:dyDescent="0.25">
      <c r="A1336" s="71">
        <f t="shared" si="50"/>
        <v>84646</v>
      </c>
      <c r="B1336">
        <f t="shared" ca="1" si="51"/>
        <v>577</v>
      </c>
      <c r="C1336" t="s">
        <v>40</v>
      </c>
    </row>
    <row r="1337" spans="1:3" x14ac:dyDescent="0.25">
      <c r="A1337" s="71">
        <f t="shared" si="50"/>
        <v>84676</v>
      </c>
      <c r="B1337">
        <f t="shared" ca="1" si="51"/>
        <v>577</v>
      </c>
      <c r="C1337" t="s">
        <v>40</v>
      </c>
    </row>
    <row r="1338" spans="1:3" x14ac:dyDescent="0.25">
      <c r="A1338" s="71">
        <f t="shared" si="50"/>
        <v>84706</v>
      </c>
      <c r="B1338">
        <f t="shared" ca="1" si="51"/>
        <v>577</v>
      </c>
      <c r="C1338" t="s">
        <v>40</v>
      </c>
    </row>
    <row r="1339" spans="1:3" x14ac:dyDescent="0.25">
      <c r="A1339" s="71">
        <f t="shared" si="50"/>
        <v>84736</v>
      </c>
      <c r="B1339">
        <f t="shared" ca="1" si="51"/>
        <v>577</v>
      </c>
      <c r="C1339" t="s">
        <v>40</v>
      </c>
    </row>
    <row r="1340" spans="1:3" x14ac:dyDescent="0.25">
      <c r="A1340" s="71">
        <f t="shared" si="50"/>
        <v>84766</v>
      </c>
      <c r="B1340">
        <f t="shared" ca="1" si="51"/>
        <v>577</v>
      </c>
      <c r="C1340" t="s">
        <v>40</v>
      </c>
    </row>
    <row r="1341" spans="1:3" x14ac:dyDescent="0.25">
      <c r="A1341" s="71">
        <f t="shared" si="50"/>
        <v>84796</v>
      </c>
      <c r="B1341">
        <f t="shared" ca="1" si="51"/>
        <v>577</v>
      </c>
      <c r="C1341" t="s">
        <v>40</v>
      </c>
    </row>
    <row r="1342" spans="1:3" x14ac:dyDescent="0.25">
      <c r="A1342" s="71">
        <f t="shared" si="50"/>
        <v>84826</v>
      </c>
      <c r="B1342">
        <f t="shared" ca="1" si="51"/>
        <v>577</v>
      </c>
      <c r="C1342" t="s">
        <v>40</v>
      </c>
    </row>
    <row r="1343" spans="1:3" x14ac:dyDescent="0.25">
      <c r="A1343" s="71">
        <f t="shared" si="50"/>
        <v>84856</v>
      </c>
      <c r="B1343">
        <f t="shared" ca="1" si="51"/>
        <v>577</v>
      </c>
      <c r="C1343" t="s">
        <v>40</v>
      </c>
    </row>
    <row r="1344" spans="1:3" x14ac:dyDescent="0.25">
      <c r="A1344" s="71">
        <f t="shared" si="50"/>
        <v>84886</v>
      </c>
      <c r="B1344">
        <f t="shared" ca="1" si="51"/>
        <v>577</v>
      </c>
      <c r="C1344" t="s">
        <v>40</v>
      </c>
    </row>
    <row r="1345" spans="1:3" x14ac:dyDescent="0.25">
      <c r="A1345" s="71">
        <f t="shared" si="50"/>
        <v>84916</v>
      </c>
      <c r="B1345">
        <f t="shared" ca="1" si="51"/>
        <v>577</v>
      </c>
      <c r="C1345" t="s">
        <v>40</v>
      </c>
    </row>
    <row r="1346" spans="1:3" x14ac:dyDescent="0.25">
      <c r="A1346" s="71">
        <f t="shared" si="50"/>
        <v>84946</v>
      </c>
      <c r="B1346">
        <f t="shared" ca="1" si="51"/>
        <v>577</v>
      </c>
      <c r="C1346" t="s">
        <v>40</v>
      </c>
    </row>
    <row r="1347" spans="1:3" x14ac:dyDescent="0.25">
      <c r="A1347" s="71">
        <f t="shared" si="50"/>
        <v>84976</v>
      </c>
      <c r="B1347">
        <f t="shared" ca="1" si="51"/>
        <v>577</v>
      </c>
      <c r="C1347" t="s">
        <v>40</v>
      </c>
    </row>
    <row r="1348" spans="1:3" x14ac:dyDescent="0.25">
      <c r="A1348" s="71">
        <f t="shared" si="50"/>
        <v>85006</v>
      </c>
      <c r="B1348">
        <f t="shared" ca="1" si="51"/>
        <v>577</v>
      </c>
      <c r="C1348" t="s">
        <v>40</v>
      </c>
    </row>
    <row r="1349" spans="1:3" x14ac:dyDescent="0.25">
      <c r="A1349" s="71">
        <f t="shared" si="50"/>
        <v>85036</v>
      </c>
      <c r="B1349">
        <f t="shared" ca="1" si="51"/>
        <v>577</v>
      </c>
      <c r="C1349" t="s">
        <v>40</v>
      </c>
    </row>
    <row r="1350" spans="1:3" x14ac:dyDescent="0.25">
      <c r="A1350" s="71">
        <f t="shared" si="50"/>
        <v>85066</v>
      </c>
      <c r="B1350">
        <f t="shared" ca="1" si="51"/>
        <v>577</v>
      </c>
      <c r="C1350" t="s">
        <v>40</v>
      </c>
    </row>
    <row r="1351" spans="1:3" x14ac:dyDescent="0.25">
      <c r="A1351" s="71">
        <f t="shared" si="50"/>
        <v>85096</v>
      </c>
      <c r="B1351">
        <f t="shared" ca="1" si="51"/>
        <v>577</v>
      </c>
      <c r="C1351" t="s">
        <v>40</v>
      </c>
    </row>
    <row r="1352" spans="1:3" x14ac:dyDescent="0.25">
      <c r="A1352" s="71">
        <f t="shared" si="50"/>
        <v>85126</v>
      </c>
      <c r="B1352">
        <f t="shared" ca="1" si="51"/>
        <v>577</v>
      </c>
      <c r="C1352" t="s">
        <v>40</v>
      </c>
    </row>
    <row r="1353" spans="1:3" x14ac:dyDescent="0.25">
      <c r="A1353" s="71">
        <f t="shared" si="50"/>
        <v>85156</v>
      </c>
      <c r="B1353">
        <f t="shared" ca="1" si="51"/>
        <v>577</v>
      </c>
      <c r="C1353" t="s">
        <v>40</v>
      </c>
    </row>
    <row r="1354" spans="1:3" x14ac:dyDescent="0.25">
      <c r="A1354" s="71">
        <f t="shared" si="50"/>
        <v>85186</v>
      </c>
      <c r="B1354">
        <f t="shared" ca="1" si="51"/>
        <v>577</v>
      </c>
      <c r="C1354" t="s">
        <v>40</v>
      </c>
    </row>
    <row r="1355" spans="1:3" x14ac:dyDescent="0.25">
      <c r="A1355" s="71">
        <f t="shared" si="50"/>
        <v>85216</v>
      </c>
      <c r="B1355">
        <f t="shared" ca="1" si="51"/>
        <v>577</v>
      </c>
      <c r="C1355" t="s">
        <v>40</v>
      </c>
    </row>
    <row r="1356" spans="1:3" x14ac:dyDescent="0.25">
      <c r="A1356" s="71">
        <f t="shared" ref="A1356:A1419" si="52">A1355+30</f>
        <v>85246</v>
      </c>
      <c r="B1356">
        <f t="shared" ref="B1356:B1419" ca="1" si="53">B1355</f>
        <v>577</v>
      </c>
      <c r="C1356" t="s">
        <v>40</v>
      </c>
    </row>
    <row r="1357" spans="1:3" x14ac:dyDescent="0.25">
      <c r="A1357" s="71">
        <f t="shared" si="52"/>
        <v>85276</v>
      </c>
      <c r="B1357">
        <f t="shared" ca="1" si="53"/>
        <v>577</v>
      </c>
      <c r="C1357" t="s">
        <v>40</v>
      </c>
    </row>
    <row r="1358" spans="1:3" x14ac:dyDescent="0.25">
      <c r="A1358" s="71">
        <f t="shared" si="52"/>
        <v>85306</v>
      </c>
      <c r="B1358">
        <f t="shared" ca="1" si="53"/>
        <v>577</v>
      </c>
      <c r="C1358" t="s">
        <v>40</v>
      </c>
    </row>
    <row r="1359" spans="1:3" x14ac:dyDescent="0.25">
      <c r="A1359" s="71">
        <f t="shared" si="52"/>
        <v>85336</v>
      </c>
      <c r="B1359">
        <f t="shared" ca="1" si="53"/>
        <v>577</v>
      </c>
      <c r="C1359" t="s">
        <v>40</v>
      </c>
    </row>
    <row r="1360" spans="1:3" x14ac:dyDescent="0.25">
      <c r="A1360" s="71">
        <f t="shared" si="52"/>
        <v>85366</v>
      </c>
      <c r="B1360">
        <f t="shared" ca="1" si="53"/>
        <v>577</v>
      </c>
      <c r="C1360" t="s">
        <v>40</v>
      </c>
    </row>
    <row r="1361" spans="1:3" x14ac:dyDescent="0.25">
      <c r="A1361" s="71">
        <f t="shared" si="52"/>
        <v>85396</v>
      </c>
      <c r="B1361">
        <f t="shared" ca="1" si="53"/>
        <v>577</v>
      </c>
      <c r="C1361" t="s">
        <v>40</v>
      </c>
    </row>
    <row r="1362" spans="1:3" x14ac:dyDescent="0.25">
      <c r="A1362" s="71">
        <f t="shared" si="52"/>
        <v>85426</v>
      </c>
      <c r="B1362">
        <f t="shared" ca="1" si="53"/>
        <v>577</v>
      </c>
      <c r="C1362" t="s">
        <v>40</v>
      </c>
    </row>
    <row r="1363" spans="1:3" x14ac:dyDescent="0.25">
      <c r="A1363" s="71">
        <f t="shared" si="52"/>
        <v>85456</v>
      </c>
      <c r="B1363">
        <f t="shared" ca="1" si="53"/>
        <v>577</v>
      </c>
      <c r="C1363" t="s">
        <v>40</v>
      </c>
    </row>
    <row r="1364" spans="1:3" x14ac:dyDescent="0.25">
      <c r="A1364" s="71">
        <f t="shared" si="52"/>
        <v>85486</v>
      </c>
      <c r="B1364">
        <f t="shared" ca="1" si="53"/>
        <v>577</v>
      </c>
      <c r="C1364" t="s">
        <v>40</v>
      </c>
    </row>
    <row r="1365" spans="1:3" x14ac:dyDescent="0.25">
      <c r="A1365" s="71">
        <f t="shared" si="52"/>
        <v>85516</v>
      </c>
      <c r="B1365">
        <f t="shared" ca="1" si="53"/>
        <v>577</v>
      </c>
      <c r="C1365" t="s">
        <v>40</v>
      </c>
    </row>
    <row r="1366" spans="1:3" x14ac:dyDescent="0.25">
      <c r="A1366" s="71">
        <f t="shared" si="52"/>
        <v>85546</v>
      </c>
      <c r="B1366">
        <f t="shared" ca="1" si="53"/>
        <v>577</v>
      </c>
      <c r="C1366" t="s">
        <v>40</v>
      </c>
    </row>
    <row r="1367" spans="1:3" x14ac:dyDescent="0.25">
      <c r="A1367" s="71">
        <f t="shared" si="52"/>
        <v>85576</v>
      </c>
      <c r="B1367">
        <f t="shared" ca="1" si="53"/>
        <v>577</v>
      </c>
      <c r="C1367" t="s">
        <v>40</v>
      </c>
    </row>
    <row r="1368" spans="1:3" x14ac:dyDescent="0.25">
      <c r="A1368" s="71">
        <f t="shared" si="52"/>
        <v>85606</v>
      </c>
      <c r="B1368">
        <f t="shared" ca="1" si="53"/>
        <v>577</v>
      </c>
      <c r="C1368" t="s">
        <v>40</v>
      </c>
    </row>
    <row r="1369" spans="1:3" x14ac:dyDescent="0.25">
      <c r="A1369" s="71">
        <f t="shared" si="52"/>
        <v>85636</v>
      </c>
      <c r="B1369">
        <f t="shared" ca="1" si="53"/>
        <v>577</v>
      </c>
      <c r="C1369" t="s">
        <v>40</v>
      </c>
    </row>
    <row r="1370" spans="1:3" x14ac:dyDescent="0.25">
      <c r="A1370" s="71">
        <f t="shared" si="52"/>
        <v>85666</v>
      </c>
      <c r="B1370">
        <f t="shared" ca="1" si="53"/>
        <v>577</v>
      </c>
      <c r="C1370" t="s">
        <v>40</v>
      </c>
    </row>
    <row r="1371" spans="1:3" x14ac:dyDescent="0.25">
      <c r="A1371" s="71">
        <f t="shared" si="52"/>
        <v>85696</v>
      </c>
      <c r="B1371">
        <f t="shared" ca="1" si="53"/>
        <v>577</v>
      </c>
      <c r="C1371" t="s">
        <v>40</v>
      </c>
    </row>
    <row r="1372" spans="1:3" x14ac:dyDescent="0.25">
      <c r="A1372" s="71">
        <f t="shared" si="52"/>
        <v>85726</v>
      </c>
      <c r="B1372">
        <f t="shared" ca="1" si="53"/>
        <v>577</v>
      </c>
      <c r="C1372" t="s">
        <v>40</v>
      </c>
    </row>
    <row r="1373" spans="1:3" x14ac:dyDescent="0.25">
      <c r="A1373" s="71">
        <f t="shared" si="52"/>
        <v>85756</v>
      </c>
      <c r="B1373">
        <f t="shared" ca="1" si="53"/>
        <v>577</v>
      </c>
      <c r="C1373" t="s">
        <v>40</v>
      </c>
    </row>
    <row r="1374" spans="1:3" x14ac:dyDescent="0.25">
      <c r="A1374" s="71">
        <f t="shared" si="52"/>
        <v>85786</v>
      </c>
      <c r="B1374">
        <f t="shared" ca="1" si="53"/>
        <v>577</v>
      </c>
      <c r="C1374" t="s">
        <v>40</v>
      </c>
    </row>
    <row r="1375" spans="1:3" x14ac:dyDescent="0.25">
      <c r="A1375" s="71">
        <f t="shared" si="52"/>
        <v>85816</v>
      </c>
      <c r="B1375">
        <f t="shared" ca="1" si="53"/>
        <v>577</v>
      </c>
      <c r="C1375" t="s">
        <v>40</v>
      </c>
    </row>
    <row r="1376" spans="1:3" x14ac:dyDescent="0.25">
      <c r="A1376" s="71">
        <f t="shared" si="52"/>
        <v>85846</v>
      </c>
      <c r="B1376">
        <f t="shared" ca="1" si="53"/>
        <v>577</v>
      </c>
      <c r="C1376" t="s">
        <v>40</v>
      </c>
    </row>
    <row r="1377" spans="1:3" x14ac:dyDescent="0.25">
      <c r="A1377" s="71">
        <f t="shared" si="52"/>
        <v>85876</v>
      </c>
      <c r="B1377">
        <f t="shared" ca="1" si="53"/>
        <v>577</v>
      </c>
      <c r="C1377" t="s">
        <v>40</v>
      </c>
    </row>
    <row r="1378" spans="1:3" x14ac:dyDescent="0.25">
      <c r="A1378" s="71">
        <f t="shared" si="52"/>
        <v>85906</v>
      </c>
      <c r="B1378">
        <f t="shared" ca="1" si="53"/>
        <v>577</v>
      </c>
      <c r="C1378" t="s">
        <v>40</v>
      </c>
    </row>
    <row r="1379" spans="1:3" x14ac:dyDescent="0.25">
      <c r="A1379" s="71">
        <f t="shared" si="52"/>
        <v>85936</v>
      </c>
      <c r="B1379">
        <f t="shared" ca="1" si="53"/>
        <v>577</v>
      </c>
      <c r="C1379" t="s">
        <v>40</v>
      </c>
    </row>
    <row r="1380" spans="1:3" x14ac:dyDescent="0.25">
      <c r="A1380" s="71">
        <f t="shared" si="52"/>
        <v>85966</v>
      </c>
      <c r="B1380">
        <f t="shared" ca="1" si="53"/>
        <v>577</v>
      </c>
      <c r="C1380" t="s">
        <v>40</v>
      </c>
    </row>
    <row r="1381" spans="1:3" x14ac:dyDescent="0.25">
      <c r="A1381" s="71">
        <f t="shared" si="52"/>
        <v>85996</v>
      </c>
      <c r="B1381">
        <f t="shared" ca="1" si="53"/>
        <v>577</v>
      </c>
      <c r="C1381" t="s">
        <v>40</v>
      </c>
    </row>
    <row r="1382" spans="1:3" x14ac:dyDescent="0.25">
      <c r="A1382" s="71">
        <f t="shared" si="52"/>
        <v>86026</v>
      </c>
      <c r="B1382">
        <f t="shared" ca="1" si="53"/>
        <v>577</v>
      </c>
      <c r="C1382" t="s">
        <v>40</v>
      </c>
    </row>
    <row r="1383" spans="1:3" x14ac:dyDescent="0.25">
      <c r="A1383" s="71">
        <f t="shared" si="52"/>
        <v>86056</v>
      </c>
      <c r="B1383">
        <f t="shared" ca="1" si="53"/>
        <v>577</v>
      </c>
      <c r="C1383" t="s">
        <v>40</v>
      </c>
    </row>
    <row r="1384" spans="1:3" x14ac:dyDescent="0.25">
      <c r="A1384" s="71">
        <f t="shared" si="52"/>
        <v>86086</v>
      </c>
      <c r="B1384">
        <f t="shared" ca="1" si="53"/>
        <v>577</v>
      </c>
      <c r="C1384" t="s">
        <v>40</v>
      </c>
    </row>
    <row r="1385" spans="1:3" x14ac:dyDescent="0.25">
      <c r="A1385" s="71">
        <f t="shared" si="52"/>
        <v>86116</v>
      </c>
      <c r="B1385">
        <f t="shared" ca="1" si="53"/>
        <v>577</v>
      </c>
      <c r="C1385" t="s">
        <v>40</v>
      </c>
    </row>
    <row r="1386" spans="1:3" x14ac:dyDescent="0.25">
      <c r="A1386" s="71">
        <f t="shared" si="52"/>
        <v>86146</v>
      </c>
      <c r="B1386">
        <f t="shared" ca="1" si="53"/>
        <v>577</v>
      </c>
      <c r="C1386" t="s">
        <v>40</v>
      </c>
    </row>
    <row r="1387" spans="1:3" x14ac:dyDescent="0.25">
      <c r="A1387" s="71">
        <f t="shared" si="52"/>
        <v>86176</v>
      </c>
      <c r="B1387">
        <f t="shared" ca="1" si="53"/>
        <v>577</v>
      </c>
      <c r="C1387" t="s">
        <v>40</v>
      </c>
    </row>
    <row r="1388" spans="1:3" x14ac:dyDescent="0.25">
      <c r="A1388" s="71">
        <f t="shared" si="52"/>
        <v>86206</v>
      </c>
      <c r="B1388">
        <f t="shared" ca="1" si="53"/>
        <v>577</v>
      </c>
      <c r="C1388" t="s">
        <v>40</v>
      </c>
    </row>
    <row r="1389" spans="1:3" x14ac:dyDescent="0.25">
      <c r="A1389" s="71">
        <f t="shared" si="52"/>
        <v>86236</v>
      </c>
      <c r="B1389">
        <f t="shared" ca="1" si="53"/>
        <v>577</v>
      </c>
      <c r="C1389" t="s">
        <v>40</v>
      </c>
    </row>
    <row r="1390" spans="1:3" x14ac:dyDescent="0.25">
      <c r="A1390" s="71">
        <f t="shared" si="52"/>
        <v>86266</v>
      </c>
      <c r="B1390">
        <f t="shared" ca="1" si="53"/>
        <v>577</v>
      </c>
      <c r="C1390" t="s">
        <v>40</v>
      </c>
    </row>
    <row r="1391" spans="1:3" x14ac:dyDescent="0.25">
      <c r="A1391" s="71">
        <f t="shared" si="52"/>
        <v>86296</v>
      </c>
      <c r="B1391">
        <f t="shared" ca="1" si="53"/>
        <v>577</v>
      </c>
      <c r="C1391" t="s">
        <v>40</v>
      </c>
    </row>
    <row r="1392" spans="1:3" x14ac:dyDescent="0.25">
      <c r="A1392" s="71">
        <f t="shared" si="52"/>
        <v>86326</v>
      </c>
      <c r="B1392">
        <f t="shared" ca="1" si="53"/>
        <v>577</v>
      </c>
      <c r="C1392" t="s">
        <v>40</v>
      </c>
    </row>
    <row r="1393" spans="1:3" x14ac:dyDescent="0.25">
      <c r="A1393" s="71">
        <f t="shared" si="52"/>
        <v>86356</v>
      </c>
      <c r="B1393">
        <f t="shared" ca="1" si="53"/>
        <v>577</v>
      </c>
      <c r="C1393" t="s">
        <v>40</v>
      </c>
    </row>
    <row r="1394" spans="1:3" x14ac:dyDescent="0.25">
      <c r="A1394" s="71">
        <f t="shared" si="52"/>
        <v>86386</v>
      </c>
      <c r="B1394">
        <f t="shared" ca="1" si="53"/>
        <v>577</v>
      </c>
      <c r="C1394" t="s">
        <v>40</v>
      </c>
    </row>
    <row r="1395" spans="1:3" x14ac:dyDescent="0.25">
      <c r="A1395" s="71">
        <f t="shared" si="52"/>
        <v>86416</v>
      </c>
      <c r="B1395">
        <f t="shared" ca="1" si="53"/>
        <v>577</v>
      </c>
      <c r="C1395" t="s">
        <v>40</v>
      </c>
    </row>
    <row r="1396" spans="1:3" x14ac:dyDescent="0.25">
      <c r="A1396" s="71">
        <f t="shared" si="52"/>
        <v>86446</v>
      </c>
      <c r="B1396">
        <f t="shared" ca="1" si="53"/>
        <v>577</v>
      </c>
      <c r="C1396" t="s">
        <v>40</v>
      </c>
    </row>
    <row r="1397" spans="1:3" x14ac:dyDescent="0.25">
      <c r="A1397" s="71">
        <f t="shared" si="52"/>
        <v>86476</v>
      </c>
      <c r="B1397">
        <f t="shared" ca="1" si="53"/>
        <v>577</v>
      </c>
      <c r="C1397" t="s">
        <v>40</v>
      </c>
    </row>
    <row r="1398" spans="1:3" x14ac:dyDescent="0.25">
      <c r="A1398" s="71">
        <f t="shared" si="52"/>
        <v>86506</v>
      </c>
      <c r="B1398">
        <f t="shared" ca="1" si="53"/>
        <v>577</v>
      </c>
      <c r="C1398" t="s">
        <v>40</v>
      </c>
    </row>
    <row r="1399" spans="1:3" x14ac:dyDescent="0.25">
      <c r="A1399" s="71">
        <f t="shared" si="52"/>
        <v>86536</v>
      </c>
      <c r="B1399">
        <f t="shared" ca="1" si="53"/>
        <v>577</v>
      </c>
      <c r="C1399" t="s">
        <v>40</v>
      </c>
    </row>
    <row r="1400" spans="1:3" x14ac:dyDescent="0.25">
      <c r="A1400" s="71">
        <f t="shared" si="52"/>
        <v>86566</v>
      </c>
      <c r="B1400">
        <f t="shared" ca="1" si="53"/>
        <v>577</v>
      </c>
      <c r="C1400" t="s">
        <v>40</v>
      </c>
    </row>
    <row r="1401" spans="1:3" x14ac:dyDescent="0.25">
      <c r="A1401" s="71">
        <f t="shared" si="52"/>
        <v>86596</v>
      </c>
      <c r="B1401">
        <f t="shared" ca="1" si="53"/>
        <v>577</v>
      </c>
      <c r="C1401" t="s">
        <v>40</v>
      </c>
    </row>
    <row r="1402" spans="1:3" x14ac:dyDescent="0.25">
      <c r="A1402" s="71">
        <f t="shared" si="52"/>
        <v>86626</v>
      </c>
      <c r="B1402">
        <f t="shared" ca="1" si="53"/>
        <v>577</v>
      </c>
      <c r="C1402" t="s">
        <v>40</v>
      </c>
    </row>
    <row r="1403" spans="1:3" x14ac:dyDescent="0.25">
      <c r="A1403" s="71">
        <f t="shared" si="52"/>
        <v>86656</v>
      </c>
      <c r="B1403">
        <f t="shared" ca="1" si="53"/>
        <v>577</v>
      </c>
      <c r="C1403" t="s">
        <v>40</v>
      </c>
    </row>
    <row r="1404" spans="1:3" x14ac:dyDescent="0.25">
      <c r="A1404" s="71">
        <f t="shared" si="52"/>
        <v>86686</v>
      </c>
      <c r="B1404">
        <f t="shared" ca="1" si="53"/>
        <v>577</v>
      </c>
      <c r="C1404" t="s">
        <v>40</v>
      </c>
    </row>
    <row r="1405" spans="1:3" x14ac:dyDescent="0.25">
      <c r="A1405" s="71">
        <f t="shared" si="52"/>
        <v>86716</v>
      </c>
      <c r="B1405">
        <f t="shared" ca="1" si="53"/>
        <v>577</v>
      </c>
      <c r="C1405" t="s">
        <v>40</v>
      </c>
    </row>
    <row r="1406" spans="1:3" x14ac:dyDescent="0.25">
      <c r="A1406" s="71">
        <f t="shared" si="52"/>
        <v>86746</v>
      </c>
      <c r="B1406">
        <f t="shared" ca="1" si="53"/>
        <v>577</v>
      </c>
      <c r="C1406" t="s">
        <v>40</v>
      </c>
    </row>
    <row r="1407" spans="1:3" x14ac:dyDescent="0.25">
      <c r="A1407" s="71">
        <f t="shared" si="52"/>
        <v>86776</v>
      </c>
      <c r="B1407">
        <f t="shared" ca="1" si="53"/>
        <v>577</v>
      </c>
      <c r="C1407" t="s">
        <v>40</v>
      </c>
    </row>
    <row r="1408" spans="1:3" x14ac:dyDescent="0.25">
      <c r="A1408" s="71">
        <f t="shared" si="52"/>
        <v>86806</v>
      </c>
      <c r="B1408">
        <f t="shared" ca="1" si="53"/>
        <v>577</v>
      </c>
      <c r="C1408" t="s">
        <v>40</v>
      </c>
    </row>
    <row r="1409" spans="1:3" x14ac:dyDescent="0.25">
      <c r="A1409" s="71">
        <f t="shared" si="52"/>
        <v>86836</v>
      </c>
      <c r="B1409">
        <f t="shared" ca="1" si="53"/>
        <v>577</v>
      </c>
      <c r="C1409" t="s">
        <v>40</v>
      </c>
    </row>
    <row r="1410" spans="1:3" x14ac:dyDescent="0.25">
      <c r="A1410" s="71">
        <f t="shared" si="52"/>
        <v>86866</v>
      </c>
      <c r="B1410">
        <f t="shared" ca="1" si="53"/>
        <v>577</v>
      </c>
      <c r="C1410" t="s">
        <v>40</v>
      </c>
    </row>
    <row r="1411" spans="1:3" x14ac:dyDescent="0.25">
      <c r="A1411" s="71">
        <f t="shared" si="52"/>
        <v>86896</v>
      </c>
      <c r="B1411">
        <f t="shared" ca="1" si="53"/>
        <v>577</v>
      </c>
      <c r="C1411" t="s">
        <v>40</v>
      </c>
    </row>
    <row r="1412" spans="1:3" x14ac:dyDescent="0.25">
      <c r="A1412" s="71">
        <f t="shared" si="52"/>
        <v>86926</v>
      </c>
      <c r="B1412">
        <f t="shared" ca="1" si="53"/>
        <v>577</v>
      </c>
      <c r="C1412" t="s">
        <v>40</v>
      </c>
    </row>
    <row r="1413" spans="1:3" x14ac:dyDescent="0.25">
      <c r="A1413" s="71">
        <f t="shared" si="52"/>
        <v>86956</v>
      </c>
      <c r="B1413">
        <f t="shared" ca="1" si="53"/>
        <v>577</v>
      </c>
      <c r="C1413" t="s">
        <v>40</v>
      </c>
    </row>
    <row r="1414" spans="1:3" x14ac:dyDescent="0.25">
      <c r="A1414" s="71">
        <f t="shared" si="52"/>
        <v>86986</v>
      </c>
      <c r="B1414">
        <f t="shared" ca="1" si="53"/>
        <v>577</v>
      </c>
      <c r="C1414" t="s">
        <v>40</v>
      </c>
    </row>
    <row r="1415" spans="1:3" x14ac:dyDescent="0.25">
      <c r="A1415" s="71">
        <f t="shared" si="52"/>
        <v>87016</v>
      </c>
      <c r="B1415">
        <f t="shared" ca="1" si="53"/>
        <v>577</v>
      </c>
      <c r="C1415" t="s">
        <v>40</v>
      </c>
    </row>
    <row r="1416" spans="1:3" x14ac:dyDescent="0.25">
      <c r="A1416" s="71">
        <f t="shared" si="52"/>
        <v>87046</v>
      </c>
      <c r="B1416">
        <f t="shared" ca="1" si="53"/>
        <v>577</v>
      </c>
      <c r="C1416" t="s">
        <v>40</v>
      </c>
    </row>
    <row r="1417" spans="1:3" x14ac:dyDescent="0.25">
      <c r="A1417" s="71">
        <f t="shared" si="52"/>
        <v>87076</v>
      </c>
      <c r="B1417">
        <f t="shared" ca="1" si="53"/>
        <v>577</v>
      </c>
      <c r="C1417" t="s">
        <v>40</v>
      </c>
    </row>
    <row r="1418" spans="1:3" x14ac:dyDescent="0.25">
      <c r="A1418" s="71">
        <f t="shared" si="52"/>
        <v>87106</v>
      </c>
      <c r="B1418">
        <f t="shared" ca="1" si="53"/>
        <v>577</v>
      </c>
      <c r="C1418" t="s">
        <v>40</v>
      </c>
    </row>
    <row r="1419" spans="1:3" x14ac:dyDescent="0.25">
      <c r="A1419" s="71">
        <f t="shared" si="52"/>
        <v>87136</v>
      </c>
      <c r="B1419">
        <f t="shared" ca="1" si="53"/>
        <v>577</v>
      </c>
      <c r="C1419" t="s">
        <v>40</v>
      </c>
    </row>
    <row r="1420" spans="1:3" x14ac:dyDescent="0.25">
      <c r="A1420" s="71">
        <f t="shared" ref="A1420:A1483" si="54">A1419+30</f>
        <v>87166</v>
      </c>
      <c r="B1420">
        <f t="shared" ref="B1420:B1483" ca="1" si="55">B1419</f>
        <v>577</v>
      </c>
      <c r="C1420" t="s">
        <v>40</v>
      </c>
    </row>
    <row r="1421" spans="1:3" x14ac:dyDescent="0.25">
      <c r="A1421" s="71">
        <f t="shared" si="54"/>
        <v>87196</v>
      </c>
      <c r="B1421">
        <f t="shared" ca="1" si="55"/>
        <v>577</v>
      </c>
      <c r="C1421" t="s">
        <v>40</v>
      </c>
    </row>
    <row r="1422" spans="1:3" x14ac:dyDescent="0.25">
      <c r="A1422" s="71">
        <f t="shared" si="54"/>
        <v>87226</v>
      </c>
      <c r="B1422">
        <f t="shared" ca="1" si="55"/>
        <v>577</v>
      </c>
      <c r="C1422" t="s">
        <v>40</v>
      </c>
    </row>
    <row r="1423" spans="1:3" x14ac:dyDescent="0.25">
      <c r="A1423" s="71">
        <f t="shared" si="54"/>
        <v>87256</v>
      </c>
      <c r="B1423">
        <f t="shared" ca="1" si="55"/>
        <v>577</v>
      </c>
      <c r="C1423" t="s">
        <v>40</v>
      </c>
    </row>
    <row r="1424" spans="1:3" x14ac:dyDescent="0.25">
      <c r="A1424" s="71">
        <f t="shared" si="54"/>
        <v>87286</v>
      </c>
      <c r="B1424">
        <f t="shared" ca="1" si="55"/>
        <v>577</v>
      </c>
      <c r="C1424" t="s">
        <v>40</v>
      </c>
    </row>
    <row r="1425" spans="1:3" x14ac:dyDescent="0.25">
      <c r="A1425" s="71">
        <f t="shared" si="54"/>
        <v>87316</v>
      </c>
      <c r="B1425">
        <f t="shared" ca="1" si="55"/>
        <v>577</v>
      </c>
      <c r="C1425" t="s">
        <v>40</v>
      </c>
    </row>
    <row r="1426" spans="1:3" x14ac:dyDescent="0.25">
      <c r="A1426" s="71">
        <f t="shared" si="54"/>
        <v>87346</v>
      </c>
      <c r="B1426">
        <f t="shared" ca="1" si="55"/>
        <v>577</v>
      </c>
      <c r="C1426" t="s">
        <v>40</v>
      </c>
    </row>
    <row r="1427" spans="1:3" x14ac:dyDescent="0.25">
      <c r="A1427" s="71">
        <f t="shared" si="54"/>
        <v>87376</v>
      </c>
      <c r="B1427">
        <f t="shared" ca="1" si="55"/>
        <v>577</v>
      </c>
      <c r="C1427" t="s">
        <v>40</v>
      </c>
    </row>
    <row r="1428" spans="1:3" x14ac:dyDescent="0.25">
      <c r="A1428" s="71">
        <f t="shared" si="54"/>
        <v>87406</v>
      </c>
      <c r="B1428">
        <f t="shared" ca="1" si="55"/>
        <v>577</v>
      </c>
      <c r="C1428" t="s">
        <v>40</v>
      </c>
    </row>
    <row r="1429" spans="1:3" x14ac:dyDescent="0.25">
      <c r="A1429" s="71">
        <f t="shared" si="54"/>
        <v>87436</v>
      </c>
      <c r="B1429">
        <f t="shared" ca="1" si="55"/>
        <v>577</v>
      </c>
      <c r="C1429" t="s">
        <v>40</v>
      </c>
    </row>
    <row r="1430" spans="1:3" x14ac:dyDescent="0.25">
      <c r="A1430" s="71">
        <f t="shared" si="54"/>
        <v>87466</v>
      </c>
      <c r="B1430">
        <f t="shared" ca="1" si="55"/>
        <v>577</v>
      </c>
      <c r="C1430" t="s">
        <v>40</v>
      </c>
    </row>
    <row r="1431" spans="1:3" x14ac:dyDescent="0.25">
      <c r="A1431" s="71">
        <f t="shared" si="54"/>
        <v>87496</v>
      </c>
      <c r="B1431">
        <f t="shared" ca="1" si="55"/>
        <v>577</v>
      </c>
      <c r="C1431" t="s">
        <v>40</v>
      </c>
    </row>
    <row r="1432" spans="1:3" x14ac:dyDescent="0.25">
      <c r="A1432" s="71">
        <f t="shared" si="54"/>
        <v>87526</v>
      </c>
      <c r="B1432">
        <f t="shared" ca="1" si="55"/>
        <v>577</v>
      </c>
      <c r="C1432" t="s">
        <v>40</v>
      </c>
    </row>
    <row r="1433" spans="1:3" x14ac:dyDescent="0.25">
      <c r="A1433" s="71">
        <f t="shared" si="54"/>
        <v>87556</v>
      </c>
      <c r="B1433">
        <f t="shared" ca="1" si="55"/>
        <v>577</v>
      </c>
      <c r="C1433" t="s">
        <v>40</v>
      </c>
    </row>
    <row r="1434" spans="1:3" x14ac:dyDescent="0.25">
      <c r="A1434" s="71">
        <f t="shared" si="54"/>
        <v>87586</v>
      </c>
      <c r="B1434">
        <f t="shared" ca="1" si="55"/>
        <v>577</v>
      </c>
      <c r="C1434" t="s">
        <v>40</v>
      </c>
    </row>
    <row r="1435" spans="1:3" x14ac:dyDescent="0.25">
      <c r="A1435" s="71">
        <f t="shared" si="54"/>
        <v>87616</v>
      </c>
      <c r="B1435">
        <f t="shared" ca="1" si="55"/>
        <v>577</v>
      </c>
      <c r="C1435" t="s">
        <v>40</v>
      </c>
    </row>
    <row r="1436" spans="1:3" x14ac:dyDescent="0.25">
      <c r="A1436" s="71">
        <f t="shared" si="54"/>
        <v>87646</v>
      </c>
      <c r="B1436">
        <f t="shared" ca="1" si="55"/>
        <v>577</v>
      </c>
      <c r="C1436" t="s">
        <v>40</v>
      </c>
    </row>
    <row r="1437" spans="1:3" x14ac:dyDescent="0.25">
      <c r="A1437" s="71">
        <f t="shared" si="54"/>
        <v>87676</v>
      </c>
      <c r="B1437">
        <f t="shared" ca="1" si="55"/>
        <v>577</v>
      </c>
      <c r="C1437" t="s">
        <v>40</v>
      </c>
    </row>
    <row r="1438" spans="1:3" x14ac:dyDescent="0.25">
      <c r="A1438" s="71">
        <f t="shared" si="54"/>
        <v>87706</v>
      </c>
      <c r="B1438">
        <f t="shared" ca="1" si="55"/>
        <v>577</v>
      </c>
      <c r="C1438" t="s">
        <v>40</v>
      </c>
    </row>
    <row r="1439" spans="1:3" x14ac:dyDescent="0.25">
      <c r="A1439" s="71">
        <f t="shared" si="54"/>
        <v>87736</v>
      </c>
      <c r="B1439">
        <f t="shared" ca="1" si="55"/>
        <v>577</v>
      </c>
      <c r="C1439" t="s">
        <v>40</v>
      </c>
    </row>
    <row r="1440" spans="1:3" x14ac:dyDescent="0.25">
      <c r="A1440" s="71">
        <f t="shared" si="54"/>
        <v>87766</v>
      </c>
      <c r="B1440">
        <f t="shared" ca="1" si="55"/>
        <v>577</v>
      </c>
      <c r="C1440" t="s">
        <v>40</v>
      </c>
    </row>
    <row r="1441" spans="1:3" x14ac:dyDescent="0.25">
      <c r="A1441" s="71">
        <f t="shared" si="54"/>
        <v>87796</v>
      </c>
      <c r="B1441">
        <f t="shared" ca="1" si="55"/>
        <v>577</v>
      </c>
      <c r="C1441" t="s">
        <v>40</v>
      </c>
    </row>
    <row r="1442" spans="1:3" x14ac:dyDescent="0.25">
      <c r="A1442" s="71">
        <f t="shared" si="54"/>
        <v>87826</v>
      </c>
      <c r="B1442">
        <f t="shared" ca="1" si="55"/>
        <v>577</v>
      </c>
      <c r="C1442" t="s">
        <v>40</v>
      </c>
    </row>
    <row r="1443" spans="1:3" x14ac:dyDescent="0.25">
      <c r="A1443" s="71">
        <f t="shared" si="54"/>
        <v>87856</v>
      </c>
      <c r="B1443">
        <f t="shared" ca="1" si="55"/>
        <v>577</v>
      </c>
      <c r="C1443" t="s">
        <v>40</v>
      </c>
    </row>
    <row r="1444" spans="1:3" x14ac:dyDescent="0.25">
      <c r="A1444" s="71">
        <f t="shared" si="54"/>
        <v>87886</v>
      </c>
      <c r="B1444">
        <f t="shared" ca="1" si="55"/>
        <v>577</v>
      </c>
      <c r="C1444" t="s">
        <v>40</v>
      </c>
    </row>
    <row r="1445" spans="1:3" x14ac:dyDescent="0.25">
      <c r="A1445" s="71">
        <f t="shared" si="54"/>
        <v>87916</v>
      </c>
      <c r="B1445">
        <f t="shared" ca="1" si="55"/>
        <v>577</v>
      </c>
      <c r="C1445" t="s">
        <v>40</v>
      </c>
    </row>
    <row r="1446" spans="1:3" x14ac:dyDescent="0.25">
      <c r="A1446" s="71">
        <f t="shared" si="54"/>
        <v>87946</v>
      </c>
      <c r="B1446">
        <f t="shared" ca="1" si="55"/>
        <v>577</v>
      </c>
      <c r="C1446" t="s">
        <v>40</v>
      </c>
    </row>
    <row r="1447" spans="1:3" x14ac:dyDescent="0.25">
      <c r="A1447" s="71">
        <f t="shared" si="54"/>
        <v>87976</v>
      </c>
      <c r="B1447">
        <f t="shared" ca="1" si="55"/>
        <v>577</v>
      </c>
      <c r="C1447" t="s">
        <v>40</v>
      </c>
    </row>
    <row r="1448" spans="1:3" x14ac:dyDescent="0.25">
      <c r="A1448" s="71">
        <f t="shared" si="54"/>
        <v>88006</v>
      </c>
      <c r="B1448">
        <f t="shared" ca="1" si="55"/>
        <v>577</v>
      </c>
      <c r="C1448" t="s">
        <v>40</v>
      </c>
    </row>
    <row r="1449" spans="1:3" x14ac:dyDescent="0.25">
      <c r="A1449" s="71">
        <f t="shared" si="54"/>
        <v>88036</v>
      </c>
      <c r="B1449">
        <f t="shared" ca="1" si="55"/>
        <v>577</v>
      </c>
      <c r="C1449" t="s">
        <v>40</v>
      </c>
    </row>
    <row r="1450" spans="1:3" x14ac:dyDescent="0.25">
      <c r="A1450" s="71">
        <f t="shared" si="54"/>
        <v>88066</v>
      </c>
      <c r="B1450">
        <f t="shared" ca="1" si="55"/>
        <v>577</v>
      </c>
      <c r="C1450" t="s">
        <v>40</v>
      </c>
    </row>
    <row r="1451" spans="1:3" x14ac:dyDescent="0.25">
      <c r="A1451" s="71">
        <f t="shared" si="54"/>
        <v>88096</v>
      </c>
      <c r="B1451">
        <f t="shared" ca="1" si="55"/>
        <v>577</v>
      </c>
      <c r="C1451" t="s">
        <v>40</v>
      </c>
    </row>
    <row r="1452" spans="1:3" x14ac:dyDescent="0.25">
      <c r="A1452" s="71">
        <f t="shared" si="54"/>
        <v>88126</v>
      </c>
      <c r="B1452">
        <f t="shared" ca="1" si="55"/>
        <v>577</v>
      </c>
      <c r="C1452" t="s">
        <v>40</v>
      </c>
    </row>
    <row r="1453" spans="1:3" x14ac:dyDescent="0.25">
      <c r="A1453" s="71">
        <f t="shared" si="54"/>
        <v>88156</v>
      </c>
      <c r="B1453">
        <f t="shared" ca="1" si="55"/>
        <v>577</v>
      </c>
      <c r="C1453" t="s">
        <v>40</v>
      </c>
    </row>
    <row r="1454" spans="1:3" x14ac:dyDescent="0.25">
      <c r="A1454" s="71">
        <f t="shared" si="54"/>
        <v>88186</v>
      </c>
      <c r="B1454">
        <f t="shared" ca="1" si="55"/>
        <v>577</v>
      </c>
      <c r="C1454" t="s">
        <v>40</v>
      </c>
    </row>
    <row r="1455" spans="1:3" x14ac:dyDescent="0.25">
      <c r="A1455" s="71">
        <f t="shared" si="54"/>
        <v>88216</v>
      </c>
      <c r="B1455">
        <f t="shared" ca="1" si="55"/>
        <v>577</v>
      </c>
      <c r="C1455" t="s">
        <v>40</v>
      </c>
    </row>
    <row r="1456" spans="1:3" x14ac:dyDescent="0.25">
      <c r="A1456" s="71">
        <f t="shared" si="54"/>
        <v>88246</v>
      </c>
      <c r="B1456">
        <f t="shared" ca="1" si="55"/>
        <v>577</v>
      </c>
      <c r="C1456" t="s">
        <v>40</v>
      </c>
    </row>
    <row r="1457" spans="1:3" x14ac:dyDescent="0.25">
      <c r="A1457" s="71">
        <f t="shared" si="54"/>
        <v>88276</v>
      </c>
      <c r="B1457">
        <f t="shared" ca="1" si="55"/>
        <v>577</v>
      </c>
      <c r="C1457" t="s">
        <v>40</v>
      </c>
    </row>
    <row r="1458" spans="1:3" x14ac:dyDescent="0.25">
      <c r="A1458" s="71">
        <f t="shared" si="54"/>
        <v>88306</v>
      </c>
      <c r="B1458">
        <f t="shared" ca="1" si="55"/>
        <v>577</v>
      </c>
      <c r="C1458" t="s">
        <v>40</v>
      </c>
    </row>
    <row r="1459" spans="1:3" x14ac:dyDescent="0.25">
      <c r="A1459" s="71">
        <f t="shared" si="54"/>
        <v>88336</v>
      </c>
      <c r="B1459">
        <f t="shared" ca="1" si="55"/>
        <v>577</v>
      </c>
      <c r="C1459" t="s">
        <v>40</v>
      </c>
    </row>
    <row r="1460" spans="1:3" x14ac:dyDescent="0.25">
      <c r="A1460" s="71">
        <f t="shared" si="54"/>
        <v>88366</v>
      </c>
      <c r="B1460">
        <f t="shared" ca="1" si="55"/>
        <v>577</v>
      </c>
      <c r="C1460" t="s">
        <v>40</v>
      </c>
    </row>
    <row r="1461" spans="1:3" x14ac:dyDescent="0.25">
      <c r="A1461" s="71">
        <f t="shared" si="54"/>
        <v>88396</v>
      </c>
      <c r="B1461">
        <f t="shared" ca="1" si="55"/>
        <v>577</v>
      </c>
      <c r="C1461" t="s">
        <v>40</v>
      </c>
    </row>
    <row r="1462" spans="1:3" x14ac:dyDescent="0.25">
      <c r="A1462" s="71">
        <f t="shared" si="54"/>
        <v>88426</v>
      </c>
      <c r="B1462">
        <f t="shared" ca="1" si="55"/>
        <v>577</v>
      </c>
      <c r="C1462" t="s">
        <v>40</v>
      </c>
    </row>
    <row r="1463" spans="1:3" x14ac:dyDescent="0.25">
      <c r="A1463" s="71">
        <f t="shared" si="54"/>
        <v>88456</v>
      </c>
      <c r="B1463">
        <f t="shared" ca="1" si="55"/>
        <v>577</v>
      </c>
      <c r="C1463" t="s">
        <v>40</v>
      </c>
    </row>
    <row r="1464" spans="1:3" x14ac:dyDescent="0.25">
      <c r="A1464" s="71">
        <f t="shared" si="54"/>
        <v>88486</v>
      </c>
      <c r="B1464">
        <f t="shared" ca="1" si="55"/>
        <v>577</v>
      </c>
      <c r="C1464" t="s">
        <v>40</v>
      </c>
    </row>
    <row r="1465" spans="1:3" x14ac:dyDescent="0.25">
      <c r="A1465" s="71">
        <f t="shared" si="54"/>
        <v>88516</v>
      </c>
      <c r="B1465">
        <f t="shared" ca="1" si="55"/>
        <v>577</v>
      </c>
      <c r="C1465" t="s">
        <v>40</v>
      </c>
    </row>
    <row r="1466" spans="1:3" x14ac:dyDescent="0.25">
      <c r="A1466" s="71">
        <f t="shared" si="54"/>
        <v>88546</v>
      </c>
      <c r="B1466">
        <f t="shared" ca="1" si="55"/>
        <v>577</v>
      </c>
      <c r="C1466" t="s">
        <v>40</v>
      </c>
    </row>
    <row r="1467" spans="1:3" x14ac:dyDescent="0.25">
      <c r="A1467" s="71">
        <f t="shared" si="54"/>
        <v>88576</v>
      </c>
      <c r="B1467">
        <f t="shared" ca="1" si="55"/>
        <v>577</v>
      </c>
      <c r="C1467" t="s">
        <v>40</v>
      </c>
    </row>
    <row r="1468" spans="1:3" x14ac:dyDescent="0.25">
      <c r="A1468" s="71">
        <f t="shared" si="54"/>
        <v>88606</v>
      </c>
      <c r="B1468">
        <f t="shared" ca="1" si="55"/>
        <v>577</v>
      </c>
      <c r="C1468" t="s">
        <v>40</v>
      </c>
    </row>
    <row r="1469" spans="1:3" x14ac:dyDescent="0.25">
      <c r="A1469" s="71">
        <f t="shared" si="54"/>
        <v>88636</v>
      </c>
      <c r="B1469">
        <f t="shared" ca="1" si="55"/>
        <v>577</v>
      </c>
      <c r="C1469" t="s">
        <v>40</v>
      </c>
    </row>
    <row r="1470" spans="1:3" x14ac:dyDescent="0.25">
      <c r="A1470" s="71">
        <f t="shared" si="54"/>
        <v>88666</v>
      </c>
      <c r="B1470">
        <f t="shared" ca="1" si="55"/>
        <v>577</v>
      </c>
      <c r="C1470" t="s">
        <v>40</v>
      </c>
    </row>
    <row r="1471" spans="1:3" x14ac:dyDescent="0.25">
      <c r="A1471" s="71">
        <f t="shared" si="54"/>
        <v>88696</v>
      </c>
      <c r="B1471">
        <f t="shared" ca="1" si="55"/>
        <v>577</v>
      </c>
      <c r="C1471" t="s">
        <v>40</v>
      </c>
    </row>
    <row r="1472" spans="1:3" x14ac:dyDescent="0.25">
      <c r="A1472" s="71">
        <f t="shared" si="54"/>
        <v>88726</v>
      </c>
      <c r="B1472">
        <f t="shared" ca="1" si="55"/>
        <v>577</v>
      </c>
      <c r="C1472" t="s">
        <v>40</v>
      </c>
    </row>
    <row r="1473" spans="1:3" x14ac:dyDescent="0.25">
      <c r="A1473" s="71">
        <f t="shared" si="54"/>
        <v>88756</v>
      </c>
      <c r="B1473">
        <f t="shared" ca="1" si="55"/>
        <v>577</v>
      </c>
      <c r="C1473" t="s">
        <v>40</v>
      </c>
    </row>
    <row r="1474" spans="1:3" x14ac:dyDescent="0.25">
      <c r="A1474" s="71">
        <f t="shared" si="54"/>
        <v>88786</v>
      </c>
      <c r="B1474">
        <f t="shared" ca="1" si="55"/>
        <v>577</v>
      </c>
      <c r="C1474" t="s">
        <v>40</v>
      </c>
    </row>
    <row r="1475" spans="1:3" x14ac:dyDescent="0.25">
      <c r="A1475" s="71">
        <f t="shared" si="54"/>
        <v>88816</v>
      </c>
      <c r="B1475">
        <f t="shared" ca="1" si="55"/>
        <v>577</v>
      </c>
      <c r="C1475" t="s">
        <v>40</v>
      </c>
    </row>
    <row r="1476" spans="1:3" x14ac:dyDescent="0.25">
      <c r="A1476" s="71">
        <f t="shared" si="54"/>
        <v>88846</v>
      </c>
      <c r="B1476">
        <f t="shared" ca="1" si="55"/>
        <v>577</v>
      </c>
      <c r="C1476" t="s">
        <v>40</v>
      </c>
    </row>
    <row r="1477" spans="1:3" x14ac:dyDescent="0.25">
      <c r="A1477" s="71">
        <f t="shared" si="54"/>
        <v>88876</v>
      </c>
      <c r="B1477">
        <f t="shared" ca="1" si="55"/>
        <v>577</v>
      </c>
      <c r="C1477" t="s">
        <v>40</v>
      </c>
    </row>
    <row r="1478" spans="1:3" x14ac:dyDescent="0.25">
      <c r="A1478" s="71">
        <f t="shared" si="54"/>
        <v>88906</v>
      </c>
      <c r="B1478">
        <f t="shared" ca="1" si="55"/>
        <v>577</v>
      </c>
      <c r="C1478" t="s">
        <v>40</v>
      </c>
    </row>
    <row r="1479" spans="1:3" x14ac:dyDescent="0.25">
      <c r="A1479" s="71">
        <f t="shared" si="54"/>
        <v>88936</v>
      </c>
      <c r="B1479">
        <f t="shared" ca="1" si="55"/>
        <v>577</v>
      </c>
      <c r="C1479" t="s">
        <v>40</v>
      </c>
    </row>
    <row r="1480" spans="1:3" x14ac:dyDescent="0.25">
      <c r="A1480" s="71">
        <f t="shared" si="54"/>
        <v>88966</v>
      </c>
      <c r="B1480">
        <f t="shared" ca="1" si="55"/>
        <v>577</v>
      </c>
      <c r="C1480" t="s">
        <v>40</v>
      </c>
    </row>
    <row r="1481" spans="1:3" x14ac:dyDescent="0.25">
      <c r="A1481" s="71">
        <f t="shared" si="54"/>
        <v>88996</v>
      </c>
      <c r="B1481">
        <f t="shared" ca="1" si="55"/>
        <v>577</v>
      </c>
      <c r="C1481" t="s">
        <v>40</v>
      </c>
    </row>
    <row r="1482" spans="1:3" x14ac:dyDescent="0.25">
      <c r="A1482" s="71">
        <f t="shared" si="54"/>
        <v>89026</v>
      </c>
      <c r="B1482">
        <f t="shared" ca="1" si="55"/>
        <v>577</v>
      </c>
      <c r="C1482" t="s">
        <v>40</v>
      </c>
    </row>
    <row r="1483" spans="1:3" x14ac:dyDescent="0.25">
      <c r="A1483" s="71">
        <f t="shared" si="54"/>
        <v>89056</v>
      </c>
      <c r="B1483">
        <f t="shared" ca="1" si="55"/>
        <v>577</v>
      </c>
      <c r="C1483" t="s">
        <v>40</v>
      </c>
    </row>
    <row r="1484" spans="1:3" x14ac:dyDescent="0.25">
      <c r="A1484" s="71">
        <f t="shared" ref="A1484:A1547" si="56">A1483+30</f>
        <v>89086</v>
      </c>
      <c r="B1484">
        <f t="shared" ref="B1484:B1547" ca="1" si="57">B1483</f>
        <v>577</v>
      </c>
      <c r="C1484" t="s">
        <v>40</v>
      </c>
    </row>
    <row r="1485" spans="1:3" x14ac:dyDescent="0.25">
      <c r="A1485" s="71">
        <f t="shared" si="56"/>
        <v>89116</v>
      </c>
      <c r="B1485">
        <f t="shared" ca="1" si="57"/>
        <v>577</v>
      </c>
      <c r="C1485" t="s">
        <v>40</v>
      </c>
    </row>
    <row r="1486" spans="1:3" x14ac:dyDescent="0.25">
      <c r="A1486" s="71">
        <f t="shared" si="56"/>
        <v>89146</v>
      </c>
      <c r="B1486">
        <f t="shared" ca="1" si="57"/>
        <v>577</v>
      </c>
      <c r="C1486" t="s">
        <v>40</v>
      </c>
    </row>
    <row r="1487" spans="1:3" x14ac:dyDescent="0.25">
      <c r="A1487" s="71">
        <f t="shared" si="56"/>
        <v>89176</v>
      </c>
      <c r="B1487">
        <f t="shared" ca="1" si="57"/>
        <v>577</v>
      </c>
      <c r="C1487" t="s">
        <v>40</v>
      </c>
    </row>
    <row r="1488" spans="1:3" x14ac:dyDescent="0.25">
      <c r="A1488" s="71">
        <f t="shared" si="56"/>
        <v>89206</v>
      </c>
      <c r="B1488">
        <f t="shared" ca="1" si="57"/>
        <v>577</v>
      </c>
      <c r="C1488" t="s">
        <v>40</v>
      </c>
    </row>
    <row r="1489" spans="1:3" x14ac:dyDescent="0.25">
      <c r="A1489" s="71">
        <f t="shared" si="56"/>
        <v>89236</v>
      </c>
      <c r="B1489">
        <f t="shared" ca="1" si="57"/>
        <v>577</v>
      </c>
      <c r="C1489" t="s">
        <v>40</v>
      </c>
    </row>
    <row r="1490" spans="1:3" x14ac:dyDescent="0.25">
      <c r="A1490" s="71">
        <f t="shared" si="56"/>
        <v>89266</v>
      </c>
      <c r="B1490">
        <f t="shared" ca="1" si="57"/>
        <v>577</v>
      </c>
      <c r="C1490" t="s">
        <v>40</v>
      </c>
    </row>
    <row r="1491" spans="1:3" x14ac:dyDescent="0.25">
      <c r="A1491" s="71">
        <f t="shared" si="56"/>
        <v>89296</v>
      </c>
      <c r="B1491">
        <f t="shared" ca="1" si="57"/>
        <v>577</v>
      </c>
      <c r="C1491" t="s">
        <v>40</v>
      </c>
    </row>
    <row r="1492" spans="1:3" x14ac:dyDescent="0.25">
      <c r="A1492" s="71">
        <f t="shared" si="56"/>
        <v>89326</v>
      </c>
      <c r="B1492">
        <f t="shared" ca="1" si="57"/>
        <v>577</v>
      </c>
      <c r="C1492" t="s">
        <v>40</v>
      </c>
    </row>
    <row r="1493" spans="1:3" x14ac:dyDescent="0.25">
      <c r="A1493" s="71">
        <f t="shared" si="56"/>
        <v>89356</v>
      </c>
      <c r="B1493">
        <f t="shared" ca="1" si="57"/>
        <v>577</v>
      </c>
      <c r="C1493" t="s">
        <v>40</v>
      </c>
    </row>
    <row r="1494" spans="1:3" x14ac:dyDescent="0.25">
      <c r="A1494" s="71">
        <f t="shared" si="56"/>
        <v>89386</v>
      </c>
      <c r="B1494">
        <f t="shared" ca="1" si="57"/>
        <v>577</v>
      </c>
      <c r="C1494" t="s">
        <v>40</v>
      </c>
    </row>
    <row r="1495" spans="1:3" x14ac:dyDescent="0.25">
      <c r="A1495" s="71">
        <f t="shared" si="56"/>
        <v>89416</v>
      </c>
      <c r="B1495">
        <f t="shared" ca="1" si="57"/>
        <v>577</v>
      </c>
      <c r="C1495" t="s">
        <v>40</v>
      </c>
    </row>
    <row r="1496" spans="1:3" x14ac:dyDescent="0.25">
      <c r="A1496" s="71">
        <f t="shared" si="56"/>
        <v>89446</v>
      </c>
      <c r="B1496">
        <f t="shared" ca="1" si="57"/>
        <v>577</v>
      </c>
      <c r="C1496" t="s">
        <v>40</v>
      </c>
    </row>
    <row r="1497" spans="1:3" x14ac:dyDescent="0.25">
      <c r="A1497" s="71">
        <f t="shared" si="56"/>
        <v>89476</v>
      </c>
      <c r="B1497">
        <f t="shared" ca="1" si="57"/>
        <v>577</v>
      </c>
      <c r="C1497" t="s">
        <v>40</v>
      </c>
    </row>
    <row r="1498" spans="1:3" x14ac:dyDescent="0.25">
      <c r="A1498" s="71">
        <f t="shared" si="56"/>
        <v>89506</v>
      </c>
      <c r="B1498">
        <f t="shared" ca="1" si="57"/>
        <v>577</v>
      </c>
      <c r="C1498" t="s">
        <v>40</v>
      </c>
    </row>
    <row r="1499" spans="1:3" x14ac:dyDescent="0.25">
      <c r="A1499" s="71">
        <f t="shared" si="56"/>
        <v>89536</v>
      </c>
      <c r="B1499">
        <f t="shared" ca="1" si="57"/>
        <v>577</v>
      </c>
      <c r="C1499" t="s">
        <v>40</v>
      </c>
    </row>
    <row r="1500" spans="1:3" x14ac:dyDescent="0.25">
      <c r="A1500" s="71">
        <f t="shared" si="56"/>
        <v>89566</v>
      </c>
      <c r="B1500">
        <f t="shared" ca="1" si="57"/>
        <v>577</v>
      </c>
      <c r="C1500" t="s">
        <v>40</v>
      </c>
    </row>
    <row r="1501" spans="1:3" x14ac:dyDescent="0.25">
      <c r="A1501" s="71">
        <f t="shared" si="56"/>
        <v>89596</v>
      </c>
      <c r="B1501">
        <f t="shared" ca="1" si="57"/>
        <v>577</v>
      </c>
      <c r="C1501" t="s">
        <v>40</v>
      </c>
    </row>
    <row r="1502" spans="1:3" x14ac:dyDescent="0.25">
      <c r="A1502" s="71">
        <f t="shared" si="56"/>
        <v>89626</v>
      </c>
      <c r="B1502">
        <f t="shared" ca="1" si="57"/>
        <v>577</v>
      </c>
      <c r="C1502" t="s">
        <v>40</v>
      </c>
    </row>
    <row r="1503" spans="1:3" x14ac:dyDescent="0.25">
      <c r="A1503" s="71">
        <f t="shared" si="56"/>
        <v>89656</v>
      </c>
      <c r="B1503">
        <f t="shared" ca="1" si="57"/>
        <v>577</v>
      </c>
      <c r="C1503" t="s">
        <v>40</v>
      </c>
    </row>
    <row r="1504" spans="1:3" x14ac:dyDescent="0.25">
      <c r="A1504" s="71">
        <f t="shared" si="56"/>
        <v>89686</v>
      </c>
      <c r="B1504">
        <f t="shared" ca="1" si="57"/>
        <v>577</v>
      </c>
      <c r="C1504" t="s">
        <v>40</v>
      </c>
    </row>
    <row r="1505" spans="1:3" x14ac:dyDescent="0.25">
      <c r="A1505" s="71">
        <f t="shared" si="56"/>
        <v>89716</v>
      </c>
      <c r="B1505">
        <f t="shared" ca="1" si="57"/>
        <v>577</v>
      </c>
      <c r="C1505" t="s">
        <v>40</v>
      </c>
    </row>
    <row r="1506" spans="1:3" x14ac:dyDescent="0.25">
      <c r="A1506" s="71">
        <f t="shared" si="56"/>
        <v>89746</v>
      </c>
      <c r="B1506">
        <f t="shared" ca="1" si="57"/>
        <v>577</v>
      </c>
      <c r="C1506" t="s">
        <v>40</v>
      </c>
    </row>
    <row r="1507" spans="1:3" x14ac:dyDescent="0.25">
      <c r="A1507" s="71">
        <f t="shared" si="56"/>
        <v>89776</v>
      </c>
      <c r="B1507">
        <f t="shared" ca="1" si="57"/>
        <v>577</v>
      </c>
      <c r="C1507" t="s">
        <v>40</v>
      </c>
    </row>
    <row r="1508" spans="1:3" x14ac:dyDescent="0.25">
      <c r="A1508" s="71">
        <f t="shared" si="56"/>
        <v>89806</v>
      </c>
      <c r="B1508">
        <f t="shared" ca="1" si="57"/>
        <v>577</v>
      </c>
      <c r="C1508" t="s">
        <v>40</v>
      </c>
    </row>
    <row r="1509" spans="1:3" x14ac:dyDescent="0.25">
      <c r="A1509" s="71">
        <f t="shared" si="56"/>
        <v>89836</v>
      </c>
      <c r="B1509">
        <f t="shared" ca="1" si="57"/>
        <v>577</v>
      </c>
      <c r="C1509" t="s">
        <v>40</v>
      </c>
    </row>
    <row r="1510" spans="1:3" x14ac:dyDescent="0.25">
      <c r="A1510" s="71">
        <f t="shared" si="56"/>
        <v>89866</v>
      </c>
      <c r="B1510">
        <f t="shared" ca="1" si="57"/>
        <v>577</v>
      </c>
      <c r="C1510" t="s">
        <v>40</v>
      </c>
    </row>
    <row r="1511" spans="1:3" x14ac:dyDescent="0.25">
      <c r="A1511" s="71">
        <f t="shared" si="56"/>
        <v>89896</v>
      </c>
      <c r="B1511">
        <f t="shared" ca="1" si="57"/>
        <v>577</v>
      </c>
      <c r="C1511" t="s">
        <v>40</v>
      </c>
    </row>
    <row r="1512" spans="1:3" x14ac:dyDescent="0.25">
      <c r="A1512" s="71">
        <f t="shared" si="56"/>
        <v>89926</v>
      </c>
      <c r="B1512">
        <f t="shared" ca="1" si="57"/>
        <v>577</v>
      </c>
      <c r="C1512" t="s">
        <v>40</v>
      </c>
    </row>
    <row r="1513" spans="1:3" x14ac:dyDescent="0.25">
      <c r="A1513" s="71">
        <f t="shared" si="56"/>
        <v>89956</v>
      </c>
      <c r="B1513">
        <f t="shared" ca="1" si="57"/>
        <v>577</v>
      </c>
      <c r="C1513" t="s">
        <v>40</v>
      </c>
    </row>
    <row r="1514" spans="1:3" x14ac:dyDescent="0.25">
      <c r="A1514" s="71">
        <f t="shared" si="56"/>
        <v>89986</v>
      </c>
      <c r="B1514">
        <f t="shared" ca="1" si="57"/>
        <v>577</v>
      </c>
      <c r="C1514" t="s">
        <v>40</v>
      </c>
    </row>
    <row r="1515" spans="1:3" x14ac:dyDescent="0.25">
      <c r="A1515" s="71">
        <f t="shared" si="56"/>
        <v>90016</v>
      </c>
      <c r="B1515">
        <f t="shared" ca="1" si="57"/>
        <v>577</v>
      </c>
      <c r="C1515" t="s">
        <v>40</v>
      </c>
    </row>
    <row r="1516" spans="1:3" x14ac:dyDescent="0.25">
      <c r="A1516" s="71">
        <f t="shared" si="56"/>
        <v>90046</v>
      </c>
      <c r="B1516">
        <f t="shared" ca="1" si="57"/>
        <v>577</v>
      </c>
      <c r="C1516" t="s">
        <v>40</v>
      </c>
    </row>
    <row r="1517" spans="1:3" x14ac:dyDescent="0.25">
      <c r="A1517" s="71">
        <f t="shared" si="56"/>
        <v>90076</v>
      </c>
      <c r="B1517">
        <f t="shared" ca="1" si="57"/>
        <v>577</v>
      </c>
      <c r="C1517" t="s">
        <v>40</v>
      </c>
    </row>
    <row r="1518" spans="1:3" x14ac:dyDescent="0.25">
      <c r="A1518" s="71">
        <f t="shared" si="56"/>
        <v>90106</v>
      </c>
      <c r="B1518">
        <f t="shared" ca="1" si="57"/>
        <v>577</v>
      </c>
      <c r="C1518" t="s">
        <v>40</v>
      </c>
    </row>
    <row r="1519" spans="1:3" x14ac:dyDescent="0.25">
      <c r="A1519" s="71">
        <f t="shared" si="56"/>
        <v>90136</v>
      </c>
      <c r="B1519">
        <f t="shared" ca="1" si="57"/>
        <v>577</v>
      </c>
      <c r="C1519" t="s">
        <v>40</v>
      </c>
    </row>
    <row r="1520" spans="1:3" x14ac:dyDescent="0.25">
      <c r="A1520" s="71">
        <f t="shared" si="56"/>
        <v>90166</v>
      </c>
      <c r="B1520">
        <f t="shared" ca="1" si="57"/>
        <v>577</v>
      </c>
      <c r="C1520" t="s">
        <v>40</v>
      </c>
    </row>
    <row r="1521" spans="1:3" x14ac:dyDescent="0.25">
      <c r="A1521" s="71">
        <f t="shared" si="56"/>
        <v>90196</v>
      </c>
      <c r="B1521">
        <f t="shared" ca="1" si="57"/>
        <v>577</v>
      </c>
      <c r="C1521" t="s">
        <v>40</v>
      </c>
    </row>
    <row r="1522" spans="1:3" x14ac:dyDescent="0.25">
      <c r="A1522" s="71">
        <f t="shared" si="56"/>
        <v>90226</v>
      </c>
      <c r="B1522">
        <f t="shared" ca="1" si="57"/>
        <v>577</v>
      </c>
      <c r="C1522" t="s">
        <v>40</v>
      </c>
    </row>
    <row r="1523" spans="1:3" x14ac:dyDescent="0.25">
      <c r="A1523" s="71">
        <f t="shared" si="56"/>
        <v>90256</v>
      </c>
      <c r="B1523">
        <f t="shared" ca="1" si="57"/>
        <v>577</v>
      </c>
      <c r="C1523" t="s">
        <v>40</v>
      </c>
    </row>
    <row r="1524" spans="1:3" x14ac:dyDescent="0.25">
      <c r="A1524" s="71">
        <f t="shared" si="56"/>
        <v>90286</v>
      </c>
      <c r="B1524">
        <f t="shared" ca="1" si="57"/>
        <v>577</v>
      </c>
      <c r="C1524" t="s">
        <v>40</v>
      </c>
    </row>
    <row r="1525" spans="1:3" x14ac:dyDescent="0.25">
      <c r="A1525" s="71">
        <f t="shared" si="56"/>
        <v>90316</v>
      </c>
      <c r="B1525">
        <f t="shared" ca="1" si="57"/>
        <v>577</v>
      </c>
      <c r="C1525" t="s">
        <v>40</v>
      </c>
    </row>
    <row r="1526" spans="1:3" x14ac:dyDescent="0.25">
      <c r="A1526" s="71">
        <f t="shared" si="56"/>
        <v>90346</v>
      </c>
      <c r="B1526">
        <f t="shared" ca="1" si="57"/>
        <v>577</v>
      </c>
      <c r="C1526" t="s">
        <v>40</v>
      </c>
    </row>
    <row r="1527" spans="1:3" x14ac:dyDescent="0.25">
      <c r="A1527" s="71">
        <f t="shared" si="56"/>
        <v>90376</v>
      </c>
      <c r="B1527">
        <f t="shared" ca="1" si="57"/>
        <v>577</v>
      </c>
      <c r="C1527" t="s">
        <v>40</v>
      </c>
    </row>
    <row r="1528" spans="1:3" x14ac:dyDescent="0.25">
      <c r="A1528" s="71">
        <f t="shared" si="56"/>
        <v>90406</v>
      </c>
      <c r="B1528">
        <f t="shared" ca="1" si="57"/>
        <v>577</v>
      </c>
      <c r="C1528" t="s">
        <v>40</v>
      </c>
    </row>
    <row r="1529" spans="1:3" x14ac:dyDescent="0.25">
      <c r="A1529" s="71">
        <f t="shared" si="56"/>
        <v>90436</v>
      </c>
      <c r="B1529">
        <f t="shared" ca="1" si="57"/>
        <v>577</v>
      </c>
      <c r="C1529" t="s">
        <v>40</v>
      </c>
    </row>
    <row r="1530" spans="1:3" x14ac:dyDescent="0.25">
      <c r="A1530" s="71">
        <f t="shared" si="56"/>
        <v>90466</v>
      </c>
      <c r="B1530">
        <f t="shared" ca="1" si="57"/>
        <v>577</v>
      </c>
      <c r="C1530" t="s">
        <v>40</v>
      </c>
    </row>
    <row r="1531" spans="1:3" x14ac:dyDescent="0.25">
      <c r="A1531" s="71">
        <f t="shared" si="56"/>
        <v>90496</v>
      </c>
      <c r="B1531">
        <f t="shared" ca="1" si="57"/>
        <v>577</v>
      </c>
      <c r="C1531" t="s">
        <v>40</v>
      </c>
    </row>
    <row r="1532" spans="1:3" x14ac:dyDescent="0.25">
      <c r="A1532" s="71">
        <f t="shared" si="56"/>
        <v>90526</v>
      </c>
      <c r="B1532">
        <f t="shared" ca="1" si="57"/>
        <v>577</v>
      </c>
      <c r="C1532" t="s">
        <v>40</v>
      </c>
    </row>
    <row r="1533" spans="1:3" x14ac:dyDescent="0.25">
      <c r="A1533" s="71">
        <f t="shared" si="56"/>
        <v>90556</v>
      </c>
      <c r="B1533">
        <f t="shared" ca="1" si="57"/>
        <v>577</v>
      </c>
      <c r="C1533" t="s">
        <v>40</v>
      </c>
    </row>
    <row r="1534" spans="1:3" x14ac:dyDescent="0.25">
      <c r="A1534" s="71">
        <f t="shared" si="56"/>
        <v>90586</v>
      </c>
      <c r="B1534">
        <f t="shared" ca="1" si="57"/>
        <v>577</v>
      </c>
      <c r="C1534" t="s">
        <v>40</v>
      </c>
    </row>
    <row r="1535" spans="1:3" x14ac:dyDescent="0.25">
      <c r="A1535" s="71">
        <f t="shared" si="56"/>
        <v>90616</v>
      </c>
      <c r="B1535">
        <f t="shared" ca="1" si="57"/>
        <v>577</v>
      </c>
      <c r="C1535" t="s">
        <v>40</v>
      </c>
    </row>
    <row r="1536" spans="1:3" x14ac:dyDescent="0.25">
      <c r="A1536" s="71">
        <f t="shared" si="56"/>
        <v>90646</v>
      </c>
      <c r="B1536">
        <f t="shared" ca="1" si="57"/>
        <v>577</v>
      </c>
      <c r="C1536" t="s">
        <v>40</v>
      </c>
    </row>
    <row r="1537" spans="1:3" x14ac:dyDescent="0.25">
      <c r="A1537" s="71">
        <f t="shared" si="56"/>
        <v>90676</v>
      </c>
      <c r="B1537">
        <f t="shared" ca="1" si="57"/>
        <v>577</v>
      </c>
      <c r="C1537" t="s">
        <v>40</v>
      </c>
    </row>
    <row r="1538" spans="1:3" x14ac:dyDescent="0.25">
      <c r="A1538" s="71">
        <f t="shared" si="56"/>
        <v>90706</v>
      </c>
      <c r="B1538">
        <f t="shared" ca="1" si="57"/>
        <v>577</v>
      </c>
      <c r="C1538" t="s">
        <v>40</v>
      </c>
    </row>
    <row r="1539" spans="1:3" x14ac:dyDescent="0.25">
      <c r="A1539" s="71">
        <f t="shared" si="56"/>
        <v>90736</v>
      </c>
      <c r="B1539">
        <f t="shared" ca="1" si="57"/>
        <v>577</v>
      </c>
      <c r="C1539" t="s">
        <v>40</v>
      </c>
    </row>
    <row r="1540" spans="1:3" x14ac:dyDescent="0.25">
      <c r="A1540" s="71">
        <f t="shared" si="56"/>
        <v>90766</v>
      </c>
      <c r="B1540">
        <f t="shared" ca="1" si="57"/>
        <v>577</v>
      </c>
      <c r="C1540" t="s">
        <v>40</v>
      </c>
    </row>
    <row r="1541" spans="1:3" x14ac:dyDescent="0.25">
      <c r="A1541" s="71">
        <f t="shared" si="56"/>
        <v>90796</v>
      </c>
      <c r="B1541">
        <f t="shared" ca="1" si="57"/>
        <v>577</v>
      </c>
      <c r="C1541" t="s">
        <v>40</v>
      </c>
    </row>
    <row r="1542" spans="1:3" x14ac:dyDescent="0.25">
      <c r="A1542" s="71">
        <f t="shared" si="56"/>
        <v>90826</v>
      </c>
      <c r="B1542">
        <f t="shared" ca="1" si="57"/>
        <v>577</v>
      </c>
      <c r="C1542" t="s">
        <v>40</v>
      </c>
    </row>
    <row r="1543" spans="1:3" x14ac:dyDescent="0.25">
      <c r="A1543" s="71">
        <f t="shared" si="56"/>
        <v>90856</v>
      </c>
      <c r="B1543">
        <f t="shared" ca="1" si="57"/>
        <v>577</v>
      </c>
      <c r="C1543" t="s">
        <v>40</v>
      </c>
    </row>
    <row r="1544" spans="1:3" x14ac:dyDescent="0.25">
      <c r="A1544" s="71">
        <f t="shared" si="56"/>
        <v>90886</v>
      </c>
      <c r="B1544">
        <f t="shared" ca="1" si="57"/>
        <v>577</v>
      </c>
      <c r="C1544" t="s">
        <v>40</v>
      </c>
    </row>
    <row r="1545" spans="1:3" x14ac:dyDescent="0.25">
      <c r="A1545" s="71">
        <f t="shared" si="56"/>
        <v>90916</v>
      </c>
      <c r="B1545">
        <f t="shared" ca="1" si="57"/>
        <v>577</v>
      </c>
      <c r="C1545" t="s">
        <v>40</v>
      </c>
    </row>
    <row r="1546" spans="1:3" x14ac:dyDescent="0.25">
      <c r="A1546" s="71">
        <f t="shared" si="56"/>
        <v>90946</v>
      </c>
      <c r="B1546">
        <f t="shared" ca="1" si="57"/>
        <v>577</v>
      </c>
      <c r="C1546" t="s">
        <v>40</v>
      </c>
    </row>
    <row r="1547" spans="1:3" x14ac:dyDescent="0.25">
      <c r="A1547" s="71">
        <f t="shared" si="56"/>
        <v>90976</v>
      </c>
      <c r="B1547">
        <f t="shared" ca="1" si="57"/>
        <v>577</v>
      </c>
      <c r="C1547" t="s">
        <v>40</v>
      </c>
    </row>
    <row r="1548" spans="1:3" x14ac:dyDescent="0.25">
      <c r="A1548" s="71">
        <f t="shared" ref="A1548:A1611" si="58">A1547+30</f>
        <v>91006</v>
      </c>
      <c r="B1548">
        <f t="shared" ref="B1548:B1611" ca="1" si="59">B1547</f>
        <v>577</v>
      </c>
      <c r="C1548" t="s">
        <v>40</v>
      </c>
    </row>
    <row r="1549" spans="1:3" x14ac:dyDescent="0.25">
      <c r="A1549" s="71">
        <f t="shared" si="58"/>
        <v>91036</v>
      </c>
      <c r="B1549">
        <f t="shared" ca="1" si="59"/>
        <v>577</v>
      </c>
      <c r="C1549" t="s">
        <v>40</v>
      </c>
    </row>
    <row r="1550" spans="1:3" x14ac:dyDescent="0.25">
      <c r="A1550" s="71">
        <f t="shared" si="58"/>
        <v>91066</v>
      </c>
      <c r="B1550">
        <f t="shared" ca="1" si="59"/>
        <v>577</v>
      </c>
      <c r="C1550" t="s">
        <v>40</v>
      </c>
    </row>
    <row r="1551" spans="1:3" x14ac:dyDescent="0.25">
      <c r="A1551" s="71">
        <f t="shared" si="58"/>
        <v>91096</v>
      </c>
      <c r="B1551">
        <f t="shared" ca="1" si="59"/>
        <v>577</v>
      </c>
      <c r="C1551" t="s">
        <v>40</v>
      </c>
    </row>
    <row r="1552" spans="1:3" x14ac:dyDescent="0.25">
      <c r="A1552" s="71">
        <f t="shared" si="58"/>
        <v>91126</v>
      </c>
      <c r="B1552">
        <f t="shared" ca="1" si="59"/>
        <v>577</v>
      </c>
      <c r="C1552" t="s">
        <v>40</v>
      </c>
    </row>
    <row r="1553" spans="1:3" x14ac:dyDescent="0.25">
      <c r="A1553" s="71">
        <f t="shared" si="58"/>
        <v>91156</v>
      </c>
      <c r="B1553">
        <f t="shared" ca="1" si="59"/>
        <v>577</v>
      </c>
      <c r="C1553" t="s">
        <v>40</v>
      </c>
    </row>
    <row r="1554" spans="1:3" x14ac:dyDescent="0.25">
      <c r="A1554" s="71">
        <f t="shared" si="58"/>
        <v>91186</v>
      </c>
      <c r="B1554">
        <f t="shared" ca="1" si="59"/>
        <v>577</v>
      </c>
      <c r="C1554" t="s">
        <v>40</v>
      </c>
    </row>
    <row r="1555" spans="1:3" x14ac:dyDescent="0.25">
      <c r="A1555" s="71">
        <f t="shared" si="58"/>
        <v>91216</v>
      </c>
      <c r="B1555">
        <f t="shared" ca="1" si="59"/>
        <v>577</v>
      </c>
      <c r="C1555" t="s">
        <v>40</v>
      </c>
    </row>
    <row r="1556" spans="1:3" x14ac:dyDescent="0.25">
      <c r="A1556" s="71">
        <f t="shared" si="58"/>
        <v>91246</v>
      </c>
      <c r="B1556">
        <f t="shared" ca="1" si="59"/>
        <v>577</v>
      </c>
      <c r="C1556" t="s">
        <v>40</v>
      </c>
    </row>
    <row r="1557" spans="1:3" x14ac:dyDescent="0.25">
      <c r="A1557" s="71">
        <f t="shared" si="58"/>
        <v>91276</v>
      </c>
      <c r="B1557">
        <f t="shared" ca="1" si="59"/>
        <v>577</v>
      </c>
      <c r="C1557" t="s">
        <v>40</v>
      </c>
    </row>
    <row r="1558" spans="1:3" x14ac:dyDescent="0.25">
      <c r="A1558" s="71">
        <f t="shared" si="58"/>
        <v>91306</v>
      </c>
      <c r="B1558">
        <f t="shared" ca="1" si="59"/>
        <v>577</v>
      </c>
      <c r="C1558" t="s">
        <v>40</v>
      </c>
    </row>
    <row r="1559" spans="1:3" x14ac:dyDescent="0.25">
      <c r="A1559" s="71">
        <f t="shared" si="58"/>
        <v>91336</v>
      </c>
      <c r="B1559">
        <f t="shared" ca="1" si="59"/>
        <v>577</v>
      </c>
      <c r="C1559" t="s">
        <v>40</v>
      </c>
    </row>
    <row r="1560" spans="1:3" x14ac:dyDescent="0.25">
      <c r="A1560" s="71">
        <f t="shared" si="58"/>
        <v>91366</v>
      </c>
      <c r="B1560">
        <f t="shared" ca="1" si="59"/>
        <v>577</v>
      </c>
      <c r="C1560" t="s">
        <v>40</v>
      </c>
    </row>
    <row r="1561" spans="1:3" x14ac:dyDescent="0.25">
      <c r="A1561" s="71">
        <f t="shared" si="58"/>
        <v>91396</v>
      </c>
      <c r="B1561">
        <f t="shared" ca="1" si="59"/>
        <v>577</v>
      </c>
      <c r="C1561" t="s">
        <v>40</v>
      </c>
    </row>
    <row r="1562" spans="1:3" x14ac:dyDescent="0.25">
      <c r="A1562" s="71">
        <f t="shared" si="58"/>
        <v>91426</v>
      </c>
      <c r="B1562">
        <f t="shared" ca="1" si="59"/>
        <v>577</v>
      </c>
      <c r="C1562" t="s">
        <v>40</v>
      </c>
    </row>
    <row r="1563" spans="1:3" x14ac:dyDescent="0.25">
      <c r="A1563" s="71">
        <f t="shared" si="58"/>
        <v>91456</v>
      </c>
      <c r="B1563">
        <f t="shared" ca="1" si="59"/>
        <v>577</v>
      </c>
      <c r="C1563" t="s">
        <v>40</v>
      </c>
    </row>
    <row r="1564" spans="1:3" x14ac:dyDescent="0.25">
      <c r="A1564" s="71">
        <f t="shared" si="58"/>
        <v>91486</v>
      </c>
      <c r="B1564">
        <f t="shared" ca="1" si="59"/>
        <v>577</v>
      </c>
      <c r="C1564" t="s">
        <v>40</v>
      </c>
    </row>
    <row r="1565" spans="1:3" x14ac:dyDescent="0.25">
      <c r="A1565" s="71">
        <f t="shared" si="58"/>
        <v>91516</v>
      </c>
      <c r="B1565">
        <f t="shared" ca="1" si="59"/>
        <v>577</v>
      </c>
      <c r="C1565" t="s">
        <v>40</v>
      </c>
    </row>
    <row r="1566" spans="1:3" x14ac:dyDescent="0.25">
      <c r="A1566" s="71">
        <f t="shared" si="58"/>
        <v>91546</v>
      </c>
      <c r="B1566">
        <f t="shared" ca="1" si="59"/>
        <v>577</v>
      </c>
      <c r="C1566" t="s">
        <v>40</v>
      </c>
    </row>
    <row r="1567" spans="1:3" x14ac:dyDescent="0.25">
      <c r="A1567" s="71">
        <f t="shared" si="58"/>
        <v>91576</v>
      </c>
      <c r="B1567">
        <f t="shared" ca="1" si="59"/>
        <v>577</v>
      </c>
      <c r="C1567" t="s">
        <v>40</v>
      </c>
    </row>
    <row r="1568" spans="1:3" x14ac:dyDescent="0.25">
      <c r="A1568" s="71">
        <f t="shared" si="58"/>
        <v>91606</v>
      </c>
      <c r="B1568">
        <f t="shared" ca="1" si="59"/>
        <v>577</v>
      </c>
      <c r="C1568" t="s">
        <v>40</v>
      </c>
    </row>
    <row r="1569" spans="1:3" x14ac:dyDescent="0.25">
      <c r="A1569" s="71">
        <f t="shared" si="58"/>
        <v>91636</v>
      </c>
      <c r="B1569">
        <f t="shared" ca="1" si="59"/>
        <v>577</v>
      </c>
      <c r="C1569" t="s">
        <v>40</v>
      </c>
    </row>
    <row r="1570" spans="1:3" x14ac:dyDescent="0.25">
      <c r="A1570" s="71">
        <f t="shared" si="58"/>
        <v>91666</v>
      </c>
      <c r="B1570">
        <f t="shared" ca="1" si="59"/>
        <v>577</v>
      </c>
      <c r="C1570" t="s">
        <v>40</v>
      </c>
    </row>
    <row r="1571" spans="1:3" x14ac:dyDescent="0.25">
      <c r="A1571" s="71">
        <f t="shared" si="58"/>
        <v>91696</v>
      </c>
      <c r="B1571">
        <f t="shared" ca="1" si="59"/>
        <v>577</v>
      </c>
      <c r="C1571" t="s">
        <v>40</v>
      </c>
    </row>
    <row r="1572" spans="1:3" x14ac:dyDescent="0.25">
      <c r="A1572" s="71">
        <f t="shared" si="58"/>
        <v>91726</v>
      </c>
      <c r="B1572">
        <f t="shared" ca="1" si="59"/>
        <v>577</v>
      </c>
      <c r="C1572" t="s">
        <v>40</v>
      </c>
    </row>
    <row r="1573" spans="1:3" x14ac:dyDescent="0.25">
      <c r="A1573" s="71">
        <f t="shared" si="58"/>
        <v>91756</v>
      </c>
      <c r="B1573">
        <f t="shared" ca="1" si="59"/>
        <v>577</v>
      </c>
      <c r="C1573" t="s">
        <v>40</v>
      </c>
    </row>
    <row r="1574" spans="1:3" x14ac:dyDescent="0.25">
      <c r="A1574" s="71">
        <f t="shared" si="58"/>
        <v>91786</v>
      </c>
      <c r="B1574">
        <f t="shared" ca="1" si="59"/>
        <v>577</v>
      </c>
      <c r="C1574" t="s">
        <v>40</v>
      </c>
    </row>
    <row r="1575" spans="1:3" x14ac:dyDescent="0.25">
      <c r="A1575" s="71">
        <f t="shared" si="58"/>
        <v>91816</v>
      </c>
      <c r="B1575">
        <f t="shared" ca="1" si="59"/>
        <v>577</v>
      </c>
      <c r="C1575" t="s">
        <v>40</v>
      </c>
    </row>
    <row r="1576" spans="1:3" x14ac:dyDescent="0.25">
      <c r="A1576" s="71">
        <f t="shared" si="58"/>
        <v>91846</v>
      </c>
      <c r="B1576">
        <f t="shared" ca="1" si="59"/>
        <v>577</v>
      </c>
      <c r="C1576" t="s">
        <v>40</v>
      </c>
    </row>
    <row r="1577" spans="1:3" x14ac:dyDescent="0.25">
      <c r="A1577" s="71">
        <f t="shared" si="58"/>
        <v>91876</v>
      </c>
      <c r="B1577">
        <f t="shared" ca="1" si="59"/>
        <v>577</v>
      </c>
      <c r="C1577" t="s">
        <v>40</v>
      </c>
    </row>
    <row r="1578" spans="1:3" x14ac:dyDescent="0.25">
      <c r="A1578" s="71">
        <f t="shared" si="58"/>
        <v>91906</v>
      </c>
      <c r="B1578">
        <f t="shared" ca="1" si="59"/>
        <v>577</v>
      </c>
      <c r="C1578" t="s">
        <v>40</v>
      </c>
    </row>
    <row r="1579" spans="1:3" x14ac:dyDescent="0.25">
      <c r="A1579" s="71">
        <f t="shared" si="58"/>
        <v>91936</v>
      </c>
      <c r="B1579">
        <f t="shared" ca="1" si="59"/>
        <v>577</v>
      </c>
      <c r="C1579" t="s">
        <v>40</v>
      </c>
    </row>
    <row r="1580" spans="1:3" x14ac:dyDescent="0.25">
      <c r="A1580" s="71">
        <f t="shared" si="58"/>
        <v>91966</v>
      </c>
      <c r="B1580">
        <f t="shared" ca="1" si="59"/>
        <v>577</v>
      </c>
      <c r="C1580" t="s">
        <v>40</v>
      </c>
    </row>
    <row r="1581" spans="1:3" x14ac:dyDescent="0.25">
      <c r="A1581" s="71">
        <f t="shared" si="58"/>
        <v>91996</v>
      </c>
      <c r="B1581">
        <f t="shared" ca="1" si="59"/>
        <v>577</v>
      </c>
      <c r="C1581" t="s">
        <v>40</v>
      </c>
    </row>
    <row r="1582" spans="1:3" x14ac:dyDescent="0.25">
      <c r="A1582" s="71">
        <f t="shared" si="58"/>
        <v>92026</v>
      </c>
      <c r="B1582">
        <f t="shared" ca="1" si="59"/>
        <v>577</v>
      </c>
      <c r="C1582" t="s">
        <v>40</v>
      </c>
    </row>
    <row r="1583" spans="1:3" x14ac:dyDescent="0.25">
      <c r="A1583" s="71">
        <f t="shared" si="58"/>
        <v>92056</v>
      </c>
      <c r="B1583">
        <f t="shared" ca="1" si="59"/>
        <v>577</v>
      </c>
      <c r="C1583" t="s">
        <v>40</v>
      </c>
    </row>
    <row r="1584" spans="1:3" x14ac:dyDescent="0.25">
      <c r="A1584" s="71">
        <f t="shared" si="58"/>
        <v>92086</v>
      </c>
      <c r="B1584">
        <f t="shared" ca="1" si="59"/>
        <v>577</v>
      </c>
      <c r="C1584" t="s">
        <v>40</v>
      </c>
    </row>
    <row r="1585" spans="1:3" x14ac:dyDescent="0.25">
      <c r="A1585" s="71">
        <f t="shared" si="58"/>
        <v>92116</v>
      </c>
      <c r="B1585">
        <f t="shared" ca="1" si="59"/>
        <v>577</v>
      </c>
      <c r="C1585" t="s">
        <v>40</v>
      </c>
    </row>
    <row r="1586" spans="1:3" x14ac:dyDescent="0.25">
      <c r="A1586" s="71">
        <f t="shared" si="58"/>
        <v>92146</v>
      </c>
      <c r="B1586">
        <f t="shared" ca="1" si="59"/>
        <v>577</v>
      </c>
      <c r="C1586" t="s">
        <v>40</v>
      </c>
    </row>
    <row r="1587" spans="1:3" x14ac:dyDescent="0.25">
      <c r="A1587" s="71">
        <f t="shared" si="58"/>
        <v>92176</v>
      </c>
      <c r="B1587">
        <f t="shared" ca="1" si="59"/>
        <v>577</v>
      </c>
      <c r="C1587" t="s">
        <v>40</v>
      </c>
    </row>
    <row r="1588" spans="1:3" x14ac:dyDescent="0.25">
      <c r="A1588" s="71">
        <f t="shared" si="58"/>
        <v>92206</v>
      </c>
      <c r="B1588">
        <f t="shared" ca="1" si="59"/>
        <v>577</v>
      </c>
      <c r="C1588" t="s">
        <v>40</v>
      </c>
    </row>
    <row r="1589" spans="1:3" x14ac:dyDescent="0.25">
      <c r="A1589" s="71">
        <f t="shared" si="58"/>
        <v>92236</v>
      </c>
      <c r="B1589">
        <f t="shared" ca="1" si="59"/>
        <v>577</v>
      </c>
      <c r="C1589" t="s">
        <v>40</v>
      </c>
    </row>
    <row r="1590" spans="1:3" x14ac:dyDescent="0.25">
      <c r="A1590" s="71">
        <f t="shared" si="58"/>
        <v>92266</v>
      </c>
      <c r="B1590">
        <f t="shared" ca="1" si="59"/>
        <v>577</v>
      </c>
      <c r="C1590" t="s">
        <v>40</v>
      </c>
    </row>
    <row r="1591" spans="1:3" x14ac:dyDescent="0.25">
      <c r="A1591" s="71">
        <f t="shared" si="58"/>
        <v>92296</v>
      </c>
      <c r="B1591">
        <f t="shared" ca="1" si="59"/>
        <v>577</v>
      </c>
      <c r="C1591" t="s">
        <v>40</v>
      </c>
    </row>
    <row r="1592" spans="1:3" x14ac:dyDescent="0.25">
      <c r="A1592" s="71">
        <f t="shared" si="58"/>
        <v>92326</v>
      </c>
      <c r="B1592">
        <f t="shared" ca="1" si="59"/>
        <v>577</v>
      </c>
      <c r="C1592" t="s">
        <v>40</v>
      </c>
    </row>
    <row r="1593" spans="1:3" x14ac:dyDescent="0.25">
      <c r="A1593" s="71">
        <f t="shared" si="58"/>
        <v>92356</v>
      </c>
      <c r="B1593">
        <f t="shared" ca="1" si="59"/>
        <v>577</v>
      </c>
      <c r="C1593" t="s">
        <v>40</v>
      </c>
    </row>
    <row r="1594" spans="1:3" x14ac:dyDescent="0.25">
      <c r="A1594" s="71">
        <f t="shared" si="58"/>
        <v>92386</v>
      </c>
      <c r="B1594">
        <f t="shared" ca="1" si="59"/>
        <v>577</v>
      </c>
      <c r="C1594" t="s">
        <v>40</v>
      </c>
    </row>
    <row r="1595" spans="1:3" x14ac:dyDescent="0.25">
      <c r="A1595" s="71">
        <f t="shared" si="58"/>
        <v>92416</v>
      </c>
      <c r="B1595">
        <f t="shared" ca="1" si="59"/>
        <v>577</v>
      </c>
      <c r="C1595" t="s">
        <v>40</v>
      </c>
    </row>
    <row r="1596" spans="1:3" x14ac:dyDescent="0.25">
      <c r="A1596" s="71">
        <f t="shared" si="58"/>
        <v>92446</v>
      </c>
      <c r="B1596">
        <f t="shared" ca="1" si="59"/>
        <v>577</v>
      </c>
      <c r="C1596" t="s">
        <v>40</v>
      </c>
    </row>
    <row r="1597" spans="1:3" x14ac:dyDescent="0.25">
      <c r="A1597" s="71">
        <f t="shared" si="58"/>
        <v>92476</v>
      </c>
      <c r="B1597">
        <f t="shared" ca="1" si="59"/>
        <v>577</v>
      </c>
      <c r="C1597" t="s">
        <v>40</v>
      </c>
    </row>
    <row r="1598" spans="1:3" x14ac:dyDescent="0.25">
      <c r="A1598" s="71">
        <f t="shared" si="58"/>
        <v>92506</v>
      </c>
      <c r="B1598">
        <f t="shared" ca="1" si="59"/>
        <v>577</v>
      </c>
      <c r="C1598" t="s">
        <v>40</v>
      </c>
    </row>
    <row r="1599" spans="1:3" x14ac:dyDescent="0.25">
      <c r="A1599" s="71">
        <f t="shared" si="58"/>
        <v>92536</v>
      </c>
      <c r="B1599">
        <f t="shared" ca="1" si="59"/>
        <v>577</v>
      </c>
      <c r="C1599" t="s">
        <v>40</v>
      </c>
    </row>
    <row r="1600" spans="1:3" x14ac:dyDescent="0.25">
      <c r="A1600" s="71">
        <f t="shared" si="58"/>
        <v>92566</v>
      </c>
      <c r="B1600">
        <f t="shared" ca="1" si="59"/>
        <v>577</v>
      </c>
      <c r="C1600" t="s">
        <v>40</v>
      </c>
    </row>
    <row r="1601" spans="1:3" x14ac:dyDescent="0.25">
      <c r="A1601" s="71">
        <f t="shared" si="58"/>
        <v>92596</v>
      </c>
      <c r="B1601">
        <f t="shared" ca="1" si="59"/>
        <v>577</v>
      </c>
      <c r="C1601" t="s">
        <v>40</v>
      </c>
    </row>
    <row r="1602" spans="1:3" x14ac:dyDescent="0.25">
      <c r="A1602" s="71">
        <f t="shared" si="58"/>
        <v>92626</v>
      </c>
      <c r="B1602">
        <f t="shared" ca="1" si="59"/>
        <v>577</v>
      </c>
      <c r="C1602" t="s">
        <v>40</v>
      </c>
    </row>
    <row r="1603" spans="1:3" x14ac:dyDescent="0.25">
      <c r="A1603" s="71">
        <f t="shared" si="58"/>
        <v>92656</v>
      </c>
      <c r="B1603">
        <f t="shared" ca="1" si="59"/>
        <v>577</v>
      </c>
      <c r="C1603" t="s">
        <v>40</v>
      </c>
    </row>
    <row r="1604" spans="1:3" x14ac:dyDescent="0.25">
      <c r="A1604" s="71">
        <f t="shared" si="58"/>
        <v>92686</v>
      </c>
      <c r="B1604">
        <f t="shared" ca="1" si="59"/>
        <v>577</v>
      </c>
      <c r="C1604" t="s">
        <v>40</v>
      </c>
    </row>
    <row r="1605" spans="1:3" x14ac:dyDescent="0.25">
      <c r="A1605" s="71">
        <f t="shared" si="58"/>
        <v>92716</v>
      </c>
      <c r="B1605">
        <f t="shared" ca="1" si="59"/>
        <v>577</v>
      </c>
      <c r="C1605" t="s">
        <v>40</v>
      </c>
    </row>
    <row r="1606" spans="1:3" x14ac:dyDescent="0.25">
      <c r="A1606" s="71">
        <f t="shared" si="58"/>
        <v>92746</v>
      </c>
      <c r="B1606">
        <f t="shared" ca="1" si="59"/>
        <v>577</v>
      </c>
      <c r="C1606" t="s">
        <v>40</v>
      </c>
    </row>
    <row r="1607" spans="1:3" x14ac:dyDescent="0.25">
      <c r="A1607" s="71">
        <f t="shared" si="58"/>
        <v>92776</v>
      </c>
      <c r="B1607">
        <f t="shared" ca="1" si="59"/>
        <v>577</v>
      </c>
      <c r="C1607" t="s">
        <v>40</v>
      </c>
    </row>
    <row r="1608" spans="1:3" x14ac:dyDescent="0.25">
      <c r="A1608" s="71">
        <f t="shared" si="58"/>
        <v>92806</v>
      </c>
      <c r="B1608">
        <f t="shared" ca="1" si="59"/>
        <v>577</v>
      </c>
      <c r="C1608" t="s">
        <v>40</v>
      </c>
    </row>
    <row r="1609" spans="1:3" x14ac:dyDescent="0.25">
      <c r="A1609" s="71">
        <f t="shared" si="58"/>
        <v>92836</v>
      </c>
      <c r="B1609">
        <f t="shared" ca="1" si="59"/>
        <v>577</v>
      </c>
      <c r="C1609" t="s">
        <v>40</v>
      </c>
    </row>
    <row r="1610" spans="1:3" x14ac:dyDescent="0.25">
      <c r="A1610" s="71">
        <f t="shared" si="58"/>
        <v>92866</v>
      </c>
      <c r="B1610">
        <f t="shared" ca="1" si="59"/>
        <v>577</v>
      </c>
      <c r="C1610" t="s">
        <v>40</v>
      </c>
    </row>
    <row r="1611" spans="1:3" x14ac:dyDescent="0.25">
      <c r="A1611" s="71">
        <f t="shared" si="58"/>
        <v>92896</v>
      </c>
      <c r="B1611">
        <f t="shared" ca="1" si="59"/>
        <v>577</v>
      </c>
      <c r="C1611" t="s">
        <v>40</v>
      </c>
    </row>
    <row r="1612" spans="1:3" x14ac:dyDescent="0.25">
      <c r="A1612" s="71">
        <f t="shared" ref="A1612:A1675" si="60">A1611+30</f>
        <v>92926</v>
      </c>
      <c r="B1612">
        <f t="shared" ref="B1612:B1675" ca="1" si="61">B1611</f>
        <v>577</v>
      </c>
      <c r="C1612" t="s">
        <v>40</v>
      </c>
    </row>
    <row r="1613" spans="1:3" x14ac:dyDescent="0.25">
      <c r="A1613" s="71">
        <f t="shared" si="60"/>
        <v>92956</v>
      </c>
      <c r="B1613">
        <f t="shared" ca="1" si="61"/>
        <v>577</v>
      </c>
      <c r="C1613" t="s">
        <v>40</v>
      </c>
    </row>
    <row r="1614" spans="1:3" x14ac:dyDescent="0.25">
      <c r="A1614" s="71">
        <f t="shared" si="60"/>
        <v>92986</v>
      </c>
      <c r="B1614">
        <f t="shared" ca="1" si="61"/>
        <v>577</v>
      </c>
      <c r="C1614" t="s">
        <v>40</v>
      </c>
    </row>
    <row r="1615" spans="1:3" x14ac:dyDescent="0.25">
      <c r="A1615" s="71">
        <f t="shared" si="60"/>
        <v>93016</v>
      </c>
      <c r="B1615">
        <f t="shared" ca="1" si="61"/>
        <v>577</v>
      </c>
      <c r="C1615" t="s">
        <v>40</v>
      </c>
    </row>
    <row r="1616" spans="1:3" x14ac:dyDescent="0.25">
      <c r="A1616" s="71">
        <f t="shared" si="60"/>
        <v>93046</v>
      </c>
      <c r="B1616">
        <f t="shared" ca="1" si="61"/>
        <v>577</v>
      </c>
      <c r="C1616" t="s">
        <v>40</v>
      </c>
    </row>
    <row r="1617" spans="1:3" x14ac:dyDescent="0.25">
      <c r="A1617" s="71">
        <f t="shared" si="60"/>
        <v>93076</v>
      </c>
      <c r="B1617">
        <f t="shared" ca="1" si="61"/>
        <v>577</v>
      </c>
      <c r="C1617" t="s">
        <v>40</v>
      </c>
    </row>
    <row r="1618" spans="1:3" x14ac:dyDescent="0.25">
      <c r="A1618" s="71">
        <f t="shared" si="60"/>
        <v>93106</v>
      </c>
      <c r="B1618">
        <f t="shared" ca="1" si="61"/>
        <v>577</v>
      </c>
      <c r="C1618" t="s">
        <v>40</v>
      </c>
    </row>
    <row r="1619" spans="1:3" x14ac:dyDescent="0.25">
      <c r="A1619" s="71">
        <f t="shared" si="60"/>
        <v>93136</v>
      </c>
      <c r="B1619">
        <f t="shared" ca="1" si="61"/>
        <v>577</v>
      </c>
      <c r="C1619" t="s">
        <v>40</v>
      </c>
    </row>
    <row r="1620" spans="1:3" x14ac:dyDescent="0.25">
      <c r="A1620" s="71">
        <f t="shared" si="60"/>
        <v>93166</v>
      </c>
      <c r="B1620">
        <f t="shared" ca="1" si="61"/>
        <v>577</v>
      </c>
      <c r="C1620" t="s">
        <v>40</v>
      </c>
    </row>
    <row r="1621" spans="1:3" x14ac:dyDescent="0.25">
      <c r="A1621" s="71">
        <f t="shared" si="60"/>
        <v>93196</v>
      </c>
      <c r="B1621">
        <f t="shared" ca="1" si="61"/>
        <v>577</v>
      </c>
      <c r="C1621" t="s">
        <v>40</v>
      </c>
    </row>
    <row r="1622" spans="1:3" x14ac:dyDescent="0.25">
      <c r="A1622" s="71">
        <f t="shared" si="60"/>
        <v>93226</v>
      </c>
      <c r="B1622">
        <f t="shared" ca="1" si="61"/>
        <v>577</v>
      </c>
      <c r="C1622" t="s">
        <v>40</v>
      </c>
    </row>
    <row r="1623" spans="1:3" x14ac:dyDescent="0.25">
      <c r="A1623" s="71">
        <f t="shared" si="60"/>
        <v>93256</v>
      </c>
      <c r="B1623">
        <f t="shared" ca="1" si="61"/>
        <v>577</v>
      </c>
      <c r="C1623" t="s">
        <v>40</v>
      </c>
    </row>
    <row r="1624" spans="1:3" x14ac:dyDescent="0.25">
      <c r="A1624" s="71">
        <f t="shared" si="60"/>
        <v>93286</v>
      </c>
      <c r="B1624">
        <f t="shared" ca="1" si="61"/>
        <v>577</v>
      </c>
      <c r="C1624" t="s">
        <v>40</v>
      </c>
    </row>
    <row r="1625" spans="1:3" x14ac:dyDescent="0.25">
      <c r="A1625" s="71">
        <f t="shared" si="60"/>
        <v>93316</v>
      </c>
      <c r="B1625">
        <f t="shared" ca="1" si="61"/>
        <v>577</v>
      </c>
      <c r="C1625" t="s">
        <v>40</v>
      </c>
    </row>
    <row r="1626" spans="1:3" x14ac:dyDescent="0.25">
      <c r="A1626" s="71">
        <f t="shared" si="60"/>
        <v>93346</v>
      </c>
      <c r="B1626">
        <f t="shared" ca="1" si="61"/>
        <v>577</v>
      </c>
      <c r="C1626" t="s">
        <v>40</v>
      </c>
    </row>
    <row r="1627" spans="1:3" x14ac:dyDescent="0.25">
      <c r="A1627" s="71">
        <f t="shared" si="60"/>
        <v>93376</v>
      </c>
      <c r="B1627">
        <f t="shared" ca="1" si="61"/>
        <v>577</v>
      </c>
      <c r="C1627" t="s">
        <v>40</v>
      </c>
    </row>
    <row r="1628" spans="1:3" x14ac:dyDescent="0.25">
      <c r="A1628" s="71">
        <f t="shared" si="60"/>
        <v>93406</v>
      </c>
      <c r="B1628">
        <f t="shared" ca="1" si="61"/>
        <v>577</v>
      </c>
      <c r="C1628" t="s">
        <v>40</v>
      </c>
    </row>
    <row r="1629" spans="1:3" x14ac:dyDescent="0.25">
      <c r="A1629" s="71">
        <f t="shared" si="60"/>
        <v>93436</v>
      </c>
      <c r="B1629">
        <f t="shared" ca="1" si="61"/>
        <v>577</v>
      </c>
      <c r="C1629" t="s">
        <v>40</v>
      </c>
    </row>
    <row r="1630" spans="1:3" x14ac:dyDescent="0.25">
      <c r="A1630" s="71">
        <f t="shared" si="60"/>
        <v>93466</v>
      </c>
      <c r="B1630">
        <f t="shared" ca="1" si="61"/>
        <v>577</v>
      </c>
      <c r="C1630" t="s">
        <v>40</v>
      </c>
    </row>
    <row r="1631" spans="1:3" x14ac:dyDescent="0.25">
      <c r="A1631" s="71">
        <f t="shared" si="60"/>
        <v>93496</v>
      </c>
      <c r="B1631">
        <f t="shared" ca="1" si="61"/>
        <v>577</v>
      </c>
      <c r="C1631" t="s">
        <v>40</v>
      </c>
    </row>
    <row r="1632" spans="1:3" x14ac:dyDescent="0.25">
      <c r="A1632" s="71">
        <f t="shared" si="60"/>
        <v>93526</v>
      </c>
      <c r="B1632">
        <f t="shared" ca="1" si="61"/>
        <v>577</v>
      </c>
      <c r="C1632" t="s">
        <v>40</v>
      </c>
    </row>
    <row r="1633" spans="1:3" x14ac:dyDescent="0.25">
      <c r="A1633" s="71">
        <f t="shared" si="60"/>
        <v>93556</v>
      </c>
      <c r="B1633">
        <f t="shared" ca="1" si="61"/>
        <v>577</v>
      </c>
      <c r="C1633" t="s">
        <v>40</v>
      </c>
    </row>
    <row r="1634" spans="1:3" x14ac:dyDescent="0.25">
      <c r="A1634" s="71">
        <f t="shared" si="60"/>
        <v>93586</v>
      </c>
      <c r="B1634">
        <f t="shared" ca="1" si="61"/>
        <v>577</v>
      </c>
      <c r="C1634" t="s">
        <v>40</v>
      </c>
    </row>
    <row r="1635" spans="1:3" x14ac:dyDescent="0.25">
      <c r="A1635" s="71">
        <f t="shared" si="60"/>
        <v>93616</v>
      </c>
      <c r="B1635">
        <f t="shared" ca="1" si="61"/>
        <v>577</v>
      </c>
      <c r="C1635" t="s">
        <v>40</v>
      </c>
    </row>
    <row r="1636" spans="1:3" x14ac:dyDescent="0.25">
      <c r="A1636" s="71">
        <f t="shared" si="60"/>
        <v>93646</v>
      </c>
      <c r="B1636">
        <f t="shared" ca="1" si="61"/>
        <v>577</v>
      </c>
      <c r="C1636" t="s">
        <v>40</v>
      </c>
    </row>
    <row r="1637" spans="1:3" x14ac:dyDescent="0.25">
      <c r="A1637" s="71">
        <f t="shared" si="60"/>
        <v>93676</v>
      </c>
      <c r="B1637">
        <f t="shared" ca="1" si="61"/>
        <v>577</v>
      </c>
      <c r="C1637" t="s">
        <v>40</v>
      </c>
    </row>
    <row r="1638" spans="1:3" x14ac:dyDescent="0.25">
      <c r="A1638" s="71">
        <f t="shared" si="60"/>
        <v>93706</v>
      </c>
      <c r="B1638">
        <f t="shared" ca="1" si="61"/>
        <v>577</v>
      </c>
      <c r="C1638" t="s">
        <v>40</v>
      </c>
    </row>
    <row r="1639" spans="1:3" x14ac:dyDescent="0.25">
      <c r="A1639" s="71">
        <f t="shared" si="60"/>
        <v>93736</v>
      </c>
      <c r="B1639">
        <f t="shared" ca="1" si="61"/>
        <v>577</v>
      </c>
      <c r="C1639" t="s">
        <v>40</v>
      </c>
    </row>
    <row r="1640" spans="1:3" x14ac:dyDescent="0.25">
      <c r="A1640" s="71">
        <f t="shared" si="60"/>
        <v>93766</v>
      </c>
      <c r="B1640">
        <f t="shared" ca="1" si="61"/>
        <v>577</v>
      </c>
      <c r="C1640" t="s">
        <v>40</v>
      </c>
    </row>
    <row r="1641" spans="1:3" x14ac:dyDescent="0.25">
      <c r="A1641" s="71">
        <f t="shared" si="60"/>
        <v>93796</v>
      </c>
      <c r="B1641">
        <f t="shared" ca="1" si="61"/>
        <v>577</v>
      </c>
      <c r="C1641" t="s">
        <v>40</v>
      </c>
    </row>
    <row r="1642" spans="1:3" x14ac:dyDescent="0.25">
      <c r="A1642" s="71">
        <f t="shared" si="60"/>
        <v>93826</v>
      </c>
      <c r="B1642">
        <f t="shared" ca="1" si="61"/>
        <v>577</v>
      </c>
      <c r="C1642" t="s">
        <v>40</v>
      </c>
    </row>
    <row r="1643" spans="1:3" x14ac:dyDescent="0.25">
      <c r="A1643" s="71">
        <f t="shared" si="60"/>
        <v>93856</v>
      </c>
      <c r="B1643">
        <f t="shared" ca="1" si="61"/>
        <v>577</v>
      </c>
      <c r="C1643" t="s">
        <v>40</v>
      </c>
    </row>
    <row r="1644" spans="1:3" x14ac:dyDescent="0.25">
      <c r="A1644" s="71">
        <f t="shared" si="60"/>
        <v>93886</v>
      </c>
      <c r="B1644">
        <f t="shared" ca="1" si="61"/>
        <v>577</v>
      </c>
      <c r="C1644" t="s">
        <v>40</v>
      </c>
    </row>
    <row r="1645" spans="1:3" x14ac:dyDescent="0.25">
      <c r="A1645" s="71">
        <f t="shared" si="60"/>
        <v>93916</v>
      </c>
      <c r="B1645">
        <f t="shared" ca="1" si="61"/>
        <v>577</v>
      </c>
      <c r="C1645" t="s">
        <v>40</v>
      </c>
    </row>
    <row r="1646" spans="1:3" x14ac:dyDescent="0.25">
      <c r="A1646" s="71">
        <f t="shared" si="60"/>
        <v>93946</v>
      </c>
      <c r="B1646">
        <f t="shared" ca="1" si="61"/>
        <v>577</v>
      </c>
      <c r="C1646" t="s">
        <v>40</v>
      </c>
    </row>
    <row r="1647" spans="1:3" x14ac:dyDescent="0.25">
      <c r="A1647" s="71">
        <f t="shared" si="60"/>
        <v>93976</v>
      </c>
      <c r="B1647">
        <f t="shared" ca="1" si="61"/>
        <v>577</v>
      </c>
      <c r="C1647" t="s">
        <v>40</v>
      </c>
    </row>
    <row r="1648" spans="1:3" x14ac:dyDescent="0.25">
      <c r="A1648" s="71">
        <f t="shared" si="60"/>
        <v>94006</v>
      </c>
      <c r="B1648">
        <f t="shared" ca="1" si="61"/>
        <v>577</v>
      </c>
      <c r="C1648" t="s">
        <v>40</v>
      </c>
    </row>
    <row r="1649" spans="1:3" x14ac:dyDescent="0.25">
      <c r="A1649" s="71">
        <f t="shared" si="60"/>
        <v>94036</v>
      </c>
      <c r="B1649">
        <f t="shared" ca="1" si="61"/>
        <v>577</v>
      </c>
      <c r="C1649" t="s">
        <v>40</v>
      </c>
    </row>
    <row r="1650" spans="1:3" x14ac:dyDescent="0.25">
      <c r="A1650" s="71">
        <f t="shared" si="60"/>
        <v>94066</v>
      </c>
      <c r="B1650">
        <f t="shared" ca="1" si="61"/>
        <v>577</v>
      </c>
      <c r="C1650" t="s">
        <v>40</v>
      </c>
    </row>
    <row r="1651" spans="1:3" x14ac:dyDescent="0.25">
      <c r="A1651" s="71">
        <f t="shared" si="60"/>
        <v>94096</v>
      </c>
      <c r="B1651">
        <f t="shared" ca="1" si="61"/>
        <v>577</v>
      </c>
      <c r="C1651" t="s">
        <v>40</v>
      </c>
    </row>
    <row r="1652" spans="1:3" x14ac:dyDescent="0.25">
      <c r="A1652" s="71">
        <f t="shared" si="60"/>
        <v>94126</v>
      </c>
      <c r="B1652">
        <f t="shared" ca="1" si="61"/>
        <v>577</v>
      </c>
      <c r="C1652" t="s">
        <v>40</v>
      </c>
    </row>
    <row r="1653" spans="1:3" x14ac:dyDescent="0.25">
      <c r="A1653" s="71">
        <f t="shared" si="60"/>
        <v>94156</v>
      </c>
      <c r="B1653">
        <f t="shared" ca="1" si="61"/>
        <v>577</v>
      </c>
      <c r="C1653" t="s">
        <v>40</v>
      </c>
    </row>
    <row r="1654" spans="1:3" x14ac:dyDescent="0.25">
      <c r="A1654" s="71">
        <f t="shared" si="60"/>
        <v>94186</v>
      </c>
      <c r="B1654">
        <f t="shared" ca="1" si="61"/>
        <v>577</v>
      </c>
      <c r="C1654" t="s">
        <v>40</v>
      </c>
    </row>
    <row r="1655" spans="1:3" x14ac:dyDescent="0.25">
      <c r="A1655" s="71">
        <f t="shared" si="60"/>
        <v>94216</v>
      </c>
      <c r="B1655">
        <f t="shared" ca="1" si="61"/>
        <v>577</v>
      </c>
      <c r="C1655" t="s">
        <v>40</v>
      </c>
    </row>
    <row r="1656" spans="1:3" x14ac:dyDescent="0.25">
      <c r="A1656" s="71">
        <f t="shared" si="60"/>
        <v>94246</v>
      </c>
      <c r="B1656">
        <f t="shared" ca="1" si="61"/>
        <v>577</v>
      </c>
      <c r="C1656" t="s">
        <v>40</v>
      </c>
    </row>
    <row r="1657" spans="1:3" x14ac:dyDescent="0.25">
      <c r="A1657" s="71">
        <f t="shared" si="60"/>
        <v>94276</v>
      </c>
      <c r="B1657">
        <f t="shared" ca="1" si="61"/>
        <v>577</v>
      </c>
      <c r="C1657" t="s">
        <v>40</v>
      </c>
    </row>
    <row r="1658" spans="1:3" x14ac:dyDescent="0.25">
      <c r="A1658" s="71">
        <f t="shared" si="60"/>
        <v>94306</v>
      </c>
      <c r="B1658">
        <f t="shared" ca="1" si="61"/>
        <v>577</v>
      </c>
      <c r="C1658" t="s">
        <v>40</v>
      </c>
    </row>
    <row r="1659" spans="1:3" x14ac:dyDescent="0.25">
      <c r="A1659" s="71">
        <f t="shared" si="60"/>
        <v>94336</v>
      </c>
      <c r="B1659">
        <f t="shared" ca="1" si="61"/>
        <v>577</v>
      </c>
      <c r="C1659" t="s">
        <v>40</v>
      </c>
    </row>
    <row r="1660" spans="1:3" x14ac:dyDescent="0.25">
      <c r="A1660" s="71">
        <f t="shared" si="60"/>
        <v>94366</v>
      </c>
      <c r="B1660">
        <f t="shared" ca="1" si="61"/>
        <v>577</v>
      </c>
      <c r="C1660" t="s">
        <v>40</v>
      </c>
    </row>
    <row r="1661" spans="1:3" x14ac:dyDescent="0.25">
      <c r="A1661" s="71">
        <f t="shared" si="60"/>
        <v>94396</v>
      </c>
      <c r="B1661">
        <f t="shared" ca="1" si="61"/>
        <v>577</v>
      </c>
      <c r="C1661" t="s">
        <v>40</v>
      </c>
    </row>
    <row r="1662" spans="1:3" x14ac:dyDescent="0.25">
      <c r="A1662" s="71">
        <f t="shared" si="60"/>
        <v>94426</v>
      </c>
      <c r="B1662">
        <f t="shared" ca="1" si="61"/>
        <v>577</v>
      </c>
      <c r="C1662" t="s">
        <v>40</v>
      </c>
    </row>
    <row r="1663" spans="1:3" x14ac:dyDescent="0.25">
      <c r="A1663" s="71">
        <f t="shared" si="60"/>
        <v>94456</v>
      </c>
      <c r="B1663">
        <f t="shared" ca="1" si="61"/>
        <v>577</v>
      </c>
      <c r="C1663" t="s">
        <v>40</v>
      </c>
    </row>
    <row r="1664" spans="1:3" x14ac:dyDescent="0.25">
      <c r="A1664" s="71">
        <f t="shared" si="60"/>
        <v>94486</v>
      </c>
      <c r="B1664">
        <f t="shared" ca="1" si="61"/>
        <v>577</v>
      </c>
      <c r="C1664" t="s">
        <v>40</v>
      </c>
    </row>
    <row r="1665" spans="1:3" x14ac:dyDescent="0.25">
      <c r="A1665" s="71">
        <f t="shared" si="60"/>
        <v>94516</v>
      </c>
      <c r="B1665">
        <f t="shared" ca="1" si="61"/>
        <v>577</v>
      </c>
      <c r="C1665" t="s">
        <v>40</v>
      </c>
    </row>
    <row r="1666" spans="1:3" x14ac:dyDescent="0.25">
      <c r="A1666" s="71">
        <f t="shared" si="60"/>
        <v>94546</v>
      </c>
      <c r="B1666">
        <f t="shared" ca="1" si="61"/>
        <v>577</v>
      </c>
      <c r="C1666" t="s">
        <v>40</v>
      </c>
    </row>
    <row r="1667" spans="1:3" x14ac:dyDescent="0.25">
      <c r="A1667" s="71">
        <f t="shared" si="60"/>
        <v>94576</v>
      </c>
      <c r="B1667">
        <f t="shared" ca="1" si="61"/>
        <v>577</v>
      </c>
      <c r="C1667" t="s">
        <v>40</v>
      </c>
    </row>
    <row r="1668" spans="1:3" x14ac:dyDescent="0.25">
      <c r="A1668" s="71">
        <f t="shared" si="60"/>
        <v>94606</v>
      </c>
      <c r="B1668">
        <f t="shared" ca="1" si="61"/>
        <v>577</v>
      </c>
      <c r="C1668" t="s">
        <v>40</v>
      </c>
    </row>
    <row r="1669" spans="1:3" x14ac:dyDescent="0.25">
      <c r="A1669" s="71">
        <f t="shared" si="60"/>
        <v>94636</v>
      </c>
      <c r="B1669">
        <f t="shared" ca="1" si="61"/>
        <v>577</v>
      </c>
      <c r="C1669" t="s">
        <v>40</v>
      </c>
    </row>
    <row r="1670" spans="1:3" x14ac:dyDescent="0.25">
      <c r="A1670" s="71">
        <f t="shared" si="60"/>
        <v>94666</v>
      </c>
      <c r="B1670">
        <f t="shared" ca="1" si="61"/>
        <v>577</v>
      </c>
      <c r="C1670" t="s">
        <v>40</v>
      </c>
    </row>
    <row r="1671" spans="1:3" x14ac:dyDescent="0.25">
      <c r="A1671" s="71">
        <f t="shared" si="60"/>
        <v>94696</v>
      </c>
      <c r="B1671">
        <f t="shared" ca="1" si="61"/>
        <v>577</v>
      </c>
      <c r="C1671" t="s">
        <v>40</v>
      </c>
    </row>
    <row r="1672" spans="1:3" x14ac:dyDescent="0.25">
      <c r="A1672" s="71">
        <f t="shared" si="60"/>
        <v>94726</v>
      </c>
      <c r="B1672">
        <f t="shared" ca="1" si="61"/>
        <v>577</v>
      </c>
      <c r="C1672" t="s">
        <v>40</v>
      </c>
    </row>
    <row r="1673" spans="1:3" x14ac:dyDescent="0.25">
      <c r="A1673" s="71">
        <f t="shared" si="60"/>
        <v>94756</v>
      </c>
      <c r="B1673">
        <f t="shared" ca="1" si="61"/>
        <v>577</v>
      </c>
      <c r="C1673" t="s">
        <v>40</v>
      </c>
    </row>
    <row r="1674" spans="1:3" x14ac:dyDescent="0.25">
      <c r="A1674" s="71">
        <f t="shared" si="60"/>
        <v>94786</v>
      </c>
      <c r="B1674">
        <f t="shared" ca="1" si="61"/>
        <v>577</v>
      </c>
      <c r="C1674" t="s">
        <v>40</v>
      </c>
    </row>
    <row r="1675" spans="1:3" x14ac:dyDescent="0.25">
      <c r="A1675" s="71">
        <f t="shared" si="60"/>
        <v>94816</v>
      </c>
      <c r="B1675">
        <f t="shared" ca="1" si="61"/>
        <v>577</v>
      </c>
      <c r="C1675" t="s">
        <v>40</v>
      </c>
    </row>
    <row r="1676" spans="1:3" x14ac:dyDescent="0.25">
      <c r="A1676" s="71">
        <f t="shared" ref="A1676:A1739" si="62">A1675+30</f>
        <v>94846</v>
      </c>
      <c r="B1676">
        <f t="shared" ref="B1676:B1739" ca="1" si="63">B1675</f>
        <v>577</v>
      </c>
      <c r="C1676" t="s">
        <v>40</v>
      </c>
    </row>
    <row r="1677" spans="1:3" x14ac:dyDescent="0.25">
      <c r="A1677" s="71">
        <f t="shared" si="62"/>
        <v>94876</v>
      </c>
      <c r="B1677">
        <f t="shared" ca="1" si="63"/>
        <v>577</v>
      </c>
      <c r="C1677" t="s">
        <v>40</v>
      </c>
    </row>
    <row r="1678" spans="1:3" x14ac:dyDescent="0.25">
      <c r="A1678" s="71">
        <f t="shared" si="62"/>
        <v>94906</v>
      </c>
      <c r="B1678">
        <f t="shared" ca="1" si="63"/>
        <v>577</v>
      </c>
      <c r="C1678" t="s">
        <v>40</v>
      </c>
    </row>
    <row r="1679" spans="1:3" x14ac:dyDescent="0.25">
      <c r="A1679" s="71">
        <f t="shared" si="62"/>
        <v>94936</v>
      </c>
      <c r="B1679">
        <f t="shared" ca="1" si="63"/>
        <v>577</v>
      </c>
      <c r="C1679" t="s">
        <v>40</v>
      </c>
    </row>
    <row r="1680" spans="1:3" x14ac:dyDescent="0.25">
      <c r="A1680" s="71">
        <f t="shared" si="62"/>
        <v>94966</v>
      </c>
      <c r="B1680">
        <f t="shared" ca="1" si="63"/>
        <v>577</v>
      </c>
      <c r="C1680" t="s">
        <v>40</v>
      </c>
    </row>
    <row r="1681" spans="1:3" x14ac:dyDescent="0.25">
      <c r="A1681" s="71">
        <f t="shared" si="62"/>
        <v>94996</v>
      </c>
      <c r="B1681">
        <f t="shared" ca="1" si="63"/>
        <v>577</v>
      </c>
      <c r="C1681" t="s">
        <v>40</v>
      </c>
    </row>
    <row r="1682" spans="1:3" x14ac:dyDescent="0.25">
      <c r="A1682" s="71">
        <f t="shared" si="62"/>
        <v>95026</v>
      </c>
      <c r="B1682">
        <f t="shared" ca="1" si="63"/>
        <v>577</v>
      </c>
      <c r="C1682" t="s">
        <v>40</v>
      </c>
    </row>
    <row r="1683" spans="1:3" x14ac:dyDescent="0.25">
      <c r="A1683" s="71">
        <f t="shared" si="62"/>
        <v>95056</v>
      </c>
      <c r="B1683">
        <f t="shared" ca="1" si="63"/>
        <v>577</v>
      </c>
      <c r="C1683" t="s">
        <v>40</v>
      </c>
    </row>
    <row r="1684" spans="1:3" x14ac:dyDescent="0.25">
      <c r="A1684" s="71">
        <f t="shared" si="62"/>
        <v>95086</v>
      </c>
      <c r="B1684">
        <f t="shared" ca="1" si="63"/>
        <v>577</v>
      </c>
      <c r="C1684" t="s">
        <v>40</v>
      </c>
    </row>
    <row r="1685" spans="1:3" x14ac:dyDescent="0.25">
      <c r="A1685" s="71">
        <f t="shared" si="62"/>
        <v>95116</v>
      </c>
      <c r="B1685">
        <f t="shared" ca="1" si="63"/>
        <v>577</v>
      </c>
      <c r="C1685" t="s">
        <v>40</v>
      </c>
    </row>
    <row r="1686" spans="1:3" x14ac:dyDescent="0.25">
      <c r="A1686" s="71">
        <f t="shared" si="62"/>
        <v>95146</v>
      </c>
      <c r="B1686">
        <f t="shared" ca="1" si="63"/>
        <v>577</v>
      </c>
      <c r="C1686" t="s">
        <v>40</v>
      </c>
    </row>
    <row r="1687" spans="1:3" x14ac:dyDescent="0.25">
      <c r="A1687" s="71">
        <f t="shared" si="62"/>
        <v>95176</v>
      </c>
      <c r="B1687">
        <f t="shared" ca="1" si="63"/>
        <v>577</v>
      </c>
      <c r="C1687" t="s">
        <v>40</v>
      </c>
    </row>
    <row r="1688" spans="1:3" x14ac:dyDescent="0.25">
      <c r="A1688" s="71">
        <f t="shared" si="62"/>
        <v>95206</v>
      </c>
      <c r="B1688">
        <f t="shared" ca="1" si="63"/>
        <v>577</v>
      </c>
      <c r="C1688" t="s">
        <v>40</v>
      </c>
    </row>
    <row r="1689" spans="1:3" x14ac:dyDescent="0.25">
      <c r="A1689" s="71">
        <f t="shared" si="62"/>
        <v>95236</v>
      </c>
      <c r="B1689">
        <f t="shared" ca="1" si="63"/>
        <v>577</v>
      </c>
      <c r="C1689" t="s">
        <v>40</v>
      </c>
    </row>
    <row r="1690" spans="1:3" x14ac:dyDescent="0.25">
      <c r="A1690" s="71">
        <f t="shared" si="62"/>
        <v>95266</v>
      </c>
      <c r="B1690">
        <f t="shared" ca="1" si="63"/>
        <v>577</v>
      </c>
      <c r="C1690" t="s">
        <v>40</v>
      </c>
    </row>
    <row r="1691" spans="1:3" x14ac:dyDescent="0.25">
      <c r="A1691" s="71">
        <f t="shared" si="62"/>
        <v>95296</v>
      </c>
      <c r="B1691">
        <f t="shared" ca="1" si="63"/>
        <v>577</v>
      </c>
      <c r="C1691" t="s">
        <v>40</v>
      </c>
    </row>
    <row r="1692" spans="1:3" x14ac:dyDescent="0.25">
      <c r="A1692" s="71">
        <f t="shared" si="62"/>
        <v>95326</v>
      </c>
      <c r="B1692">
        <f t="shared" ca="1" si="63"/>
        <v>577</v>
      </c>
      <c r="C1692" t="s">
        <v>40</v>
      </c>
    </row>
    <row r="1693" spans="1:3" x14ac:dyDescent="0.25">
      <c r="A1693" s="71">
        <f t="shared" si="62"/>
        <v>95356</v>
      </c>
      <c r="B1693">
        <f t="shared" ca="1" si="63"/>
        <v>577</v>
      </c>
      <c r="C1693" t="s">
        <v>40</v>
      </c>
    </row>
    <row r="1694" spans="1:3" x14ac:dyDescent="0.25">
      <c r="A1694" s="71">
        <f t="shared" si="62"/>
        <v>95386</v>
      </c>
      <c r="B1694">
        <f t="shared" ca="1" si="63"/>
        <v>577</v>
      </c>
      <c r="C1694" t="s">
        <v>40</v>
      </c>
    </row>
    <row r="1695" spans="1:3" x14ac:dyDescent="0.25">
      <c r="A1695" s="71">
        <f t="shared" si="62"/>
        <v>95416</v>
      </c>
      <c r="B1695">
        <f t="shared" ca="1" si="63"/>
        <v>577</v>
      </c>
      <c r="C1695" t="s">
        <v>40</v>
      </c>
    </row>
    <row r="1696" spans="1:3" x14ac:dyDescent="0.25">
      <c r="A1696" s="71">
        <f t="shared" si="62"/>
        <v>95446</v>
      </c>
      <c r="B1696">
        <f t="shared" ca="1" si="63"/>
        <v>577</v>
      </c>
      <c r="C1696" t="s">
        <v>40</v>
      </c>
    </row>
    <row r="1697" spans="1:3" x14ac:dyDescent="0.25">
      <c r="A1697" s="71">
        <f t="shared" si="62"/>
        <v>95476</v>
      </c>
      <c r="B1697">
        <f t="shared" ca="1" si="63"/>
        <v>577</v>
      </c>
      <c r="C1697" t="s">
        <v>40</v>
      </c>
    </row>
    <row r="1698" spans="1:3" x14ac:dyDescent="0.25">
      <c r="A1698" s="71">
        <f t="shared" si="62"/>
        <v>95506</v>
      </c>
      <c r="B1698">
        <f t="shared" ca="1" si="63"/>
        <v>577</v>
      </c>
      <c r="C1698" t="s">
        <v>40</v>
      </c>
    </row>
    <row r="1699" spans="1:3" x14ac:dyDescent="0.25">
      <c r="A1699" s="71">
        <f t="shared" si="62"/>
        <v>95536</v>
      </c>
      <c r="B1699">
        <f t="shared" ca="1" si="63"/>
        <v>577</v>
      </c>
      <c r="C1699" t="s">
        <v>40</v>
      </c>
    </row>
    <row r="1700" spans="1:3" x14ac:dyDescent="0.25">
      <c r="A1700" s="71">
        <f t="shared" si="62"/>
        <v>95566</v>
      </c>
      <c r="B1700">
        <f t="shared" ca="1" si="63"/>
        <v>577</v>
      </c>
      <c r="C1700" t="s">
        <v>40</v>
      </c>
    </row>
    <row r="1701" spans="1:3" x14ac:dyDescent="0.25">
      <c r="A1701" s="71">
        <f t="shared" si="62"/>
        <v>95596</v>
      </c>
      <c r="B1701">
        <f t="shared" ca="1" si="63"/>
        <v>577</v>
      </c>
      <c r="C1701" t="s">
        <v>40</v>
      </c>
    </row>
    <row r="1702" spans="1:3" x14ac:dyDescent="0.25">
      <c r="A1702" s="71">
        <f t="shared" si="62"/>
        <v>95626</v>
      </c>
      <c r="B1702">
        <f t="shared" ca="1" si="63"/>
        <v>577</v>
      </c>
      <c r="C1702" t="s">
        <v>40</v>
      </c>
    </row>
    <row r="1703" spans="1:3" x14ac:dyDescent="0.25">
      <c r="A1703" s="71">
        <f t="shared" si="62"/>
        <v>95656</v>
      </c>
      <c r="B1703">
        <f t="shared" ca="1" si="63"/>
        <v>577</v>
      </c>
      <c r="C1703" t="s">
        <v>40</v>
      </c>
    </row>
    <row r="1704" spans="1:3" x14ac:dyDescent="0.25">
      <c r="A1704" s="71">
        <f t="shared" si="62"/>
        <v>95686</v>
      </c>
      <c r="B1704">
        <f t="shared" ca="1" si="63"/>
        <v>577</v>
      </c>
      <c r="C1704" t="s">
        <v>40</v>
      </c>
    </row>
    <row r="1705" spans="1:3" x14ac:dyDescent="0.25">
      <c r="A1705" s="71">
        <f t="shared" si="62"/>
        <v>95716</v>
      </c>
      <c r="B1705">
        <f t="shared" ca="1" si="63"/>
        <v>577</v>
      </c>
      <c r="C1705" t="s">
        <v>40</v>
      </c>
    </row>
    <row r="1706" spans="1:3" x14ac:dyDescent="0.25">
      <c r="A1706" s="71">
        <f t="shared" si="62"/>
        <v>95746</v>
      </c>
      <c r="B1706">
        <f t="shared" ca="1" si="63"/>
        <v>577</v>
      </c>
      <c r="C1706" t="s">
        <v>40</v>
      </c>
    </row>
    <row r="1707" spans="1:3" x14ac:dyDescent="0.25">
      <c r="A1707" s="71">
        <f t="shared" si="62"/>
        <v>95776</v>
      </c>
      <c r="B1707">
        <f t="shared" ca="1" si="63"/>
        <v>577</v>
      </c>
      <c r="C1707" t="s">
        <v>40</v>
      </c>
    </row>
    <row r="1708" spans="1:3" x14ac:dyDescent="0.25">
      <c r="A1708" s="71">
        <f t="shared" si="62"/>
        <v>95806</v>
      </c>
      <c r="B1708">
        <f t="shared" ca="1" si="63"/>
        <v>577</v>
      </c>
      <c r="C1708" t="s">
        <v>40</v>
      </c>
    </row>
    <row r="1709" spans="1:3" x14ac:dyDescent="0.25">
      <c r="A1709" s="71">
        <f t="shared" si="62"/>
        <v>95836</v>
      </c>
      <c r="B1709">
        <f t="shared" ca="1" si="63"/>
        <v>577</v>
      </c>
      <c r="C1709" t="s">
        <v>40</v>
      </c>
    </row>
    <row r="1710" spans="1:3" x14ac:dyDescent="0.25">
      <c r="A1710" s="71">
        <f t="shared" si="62"/>
        <v>95866</v>
      </c>
      <c r="B1710">
        <f t="shared" ca="1" si="63"/>
        <v>577</v>
      </c>
      <c r="C1710" t="s">
        <v>40</v>
      </c>
    </row>
    <row r="1711" spans="1:3" x14ac:dyDescent="0.25">
      <c r="A1711" s="71">
        <f t="shared" si="62"/>
        <v>95896</v>
      </c>
      <c r="B1711">
        <f t="shared" ca="1" si="63"/>
        <v>577</v>
      </c>
      <c r="C1711" t="s">
        <v>40</v>
      </c>
    </row>
    <row r="1712" spans="1:3" x14ac:dyDescent="0.25">
      <c r="A1712" s="71">
        <f t="shared" si="62"/>
        <v>95926</v>
      </c>
      <c r="B1712">
        <f t="shared" ca="1" si="63"/>
        <v>577</v>
      </c>
      <c r="C1712" t="s">
        <v>40</v>
      </c>
    </row>
    <row r="1713" spans="1:3" x14ac:dyDescent="0.25">
      <c r="A1713" s="71">
        <f t="shared" si="62"/>
        <v>95956</v>
      </c>
      <c r="B1713">
        <f t="shared" ca="1" si="63"/>
        <v>577</v>
      </c>
      <c r="C1713" t="s">
        <v>40</v>
      </c>
    </row>
    <row r="1714" spans="1:3" x14ac:dyDescent="0.25">
      <c r="A1714" s="71">
        <f t="shared" si="62"/>
        <v>95986</v>
      </c>
      <c r="B1714">
        <f t="shared" ca="1" si="63"/>
        <v>577</v>
      </c>
      <c r="C1714" t="s">
        <v>40</v>
      </c>
    </row>
    <row r="1715" spans="1:3" x14ac:dyDescent="0.25">
      <c r="A1715" s="71">
        <f t="shared" si="62"/>
        <v>96016</v>
      </c>
      <c r="B1715">
        <f t="shared" ca="1" si="63"/>
        <v>577</v>
      </c>
      <c r="C1715" t="s">
        <v>40</v>
      </c>
    </row>
    <row r="1716" spans="1:3" x14ac:dyDescent="0.25">
      <c r="A1716" s="71">
        <f t="shared" si="62"/>
        <v>96046</v>
      </c>
      <c r="B1716">
        <f t="shared" ca="1" si="63"/>
        <v>577</v>
      </c>
      <c r="C1716" t="s">
        <v>40</v>
      </c>
    </row>
    <row r="1717" spans="1:3" x14ac:dyDescent="0.25">
      <c r="A1717" s="71">
        <f t="shared" si="62"/>
        <v>96076</v>
      </c>
      <c r="B1717">
        <f t="shared" ca="1" si="63"/>
        <v>577</v>
      </c>
      <c r="C1717" t="s">
        <v>40</v>
      </c>
    </row>
    <row r="1718" spans="1:3" x14ac:dyDescent="0.25">
      <c r="A1718" s="71">
        <f t="shared" si="62"/>
        <v>96106</v>
      </c>
      <c r="B1718">
        <f t="shared" ca="1" si="63"/>
        <v>577</v>
      </c>
      <c r="C1718" t="s">
        <v>40</v>
      </c>
    </row>
    <row r="1719" spans="1:3" x14ac:dyDescent="0.25">
      <c r="A1719" s="71">
        <f t="shared" si="62"/>
        <v>96136</v>
      </c>
      <c r="B1719">
        <f t="shared" ca="1" si="63"/>
        <v>577</v>
      </c>
      <c r="C1719" t="s">
        <v>40</v>
      </c>
    </row>
    <row r="1720" spans="1:3" x14ac:dyDescent="0.25">
      <c r="A1720" s="71">
        <f t="shared" si="62"/>
        <v>96166</v>
      </c>
      <c r="B1720">
        <f t="shared" ca="1" si="63"/>
        <v>577</v>
      </c>
      <c r="C1720" t="s">
        <v>40</v>
      </c>
    </row>
    <row r="1721" spans="1:3" x14ac:dyDescent="0.25">
      <c r="A1721" s="71">
        <f t="shared" si="62"/>
        <v>96196</v>
      </c>
      <c r="B1721">
        <f t="shared" ca="1" si="63"/>
        <v>577</v>
      </c>
      <c r="C1721" t="s">
        <v>40</v>
      </c>
    </row>
    <row r="1722" spans="1:3" x14ac:dyDescent="0.25">
      <c r="A1722" s="71">
        <f t="shared" si="62"/>
        <v>96226</v>
      </c>
      <c r="B1722">
        <f t="shared" ca="1" si="63"/>
        <v>577</v>
      </c>
      <c r="C1722" t="s">
        <v>40</v>
      </c>
    </row>
    <row r="1723" spans="1:3" x14ac:dyDescent="0.25">
      <c r="A1723" s="71">
        <f t="shared" si="62"/>
        <v>96256</v>
      </c>
      <c r="B1723">
        <f t="shared" ca="1" si="63"/>
        <v>577</v>
      </c>
      <c r="C1723" t="s">
        <v>40</v>
      </c>
    </row>
    <row r="1724" spans="1:3" x14ac:dyDescent="0.25">
      <c r="A1724" s="71">
        <f t="shared" si="62"/>
        <v>96286</v>
      </c>
      <c r="B1724">
        <f t="shared" ca="1" si="63"/>
        <v>577</v>
      </c>
      <c r="C1724" t="s">
        <v>40</v>
      </c>
    </row>
    <row r="1725" spans="1:3" x14ac:dyDescent="0.25">
      <c r="A1725" s="71">
        <f t="shared" si="62"/>
        <v>96316</v>
      </c>
      <c r="B1725">
        <f t="shared" ca="1" si="63"/>
        <v>577</v>
      </c>
      <c r="C1725" t="s">
        <v>40</v>
      </c>
    </row>
    <row r="1726" spans="1:3" x14ac:dyDescent="0.25">
      <c r="A1726" s="71">
        <f t="shared" si="62"/>
        <v>96346</v>
      </c>
      <c r="B1726">
        <f t="shared" ca="1" si="63"/>
        <v>577</v>
      </c>
      <c r="C1726" t="s">
        <v>40</v>
      </c>
    </row>
    <row r="1727" spans="1:3" x14ac:dyDescent="0.25">
      <c r="A1727" s="71">
        <f t="shared" si="62"/>
        <v>96376</v>
      </c>
      <c r="B1727">
        <f t="shared" ca="1" si="63"/>
        <v>577</v>
      </c>
      <c r="C1727" t="s">
        <v>40</v>
      </c>
    </row>
    <row r="1728" spans="1:3" x14ac:dyDescent="0.25">
      <c r="A1728" s="71">
        <f t="shared" si="62"/>
        <v>96406</v>
      </c>
      <c r="B1728">
        <f t="shared" ca="1" si="63"/>
        <v>577</v>
      </c>
      <c r="C1728" t="s">
        <v>40</v>
      </c>
    </row>
    <row r="1729" spans="1:3" x14ac:dyDescent="0.25">
      <c r="A1729" s="71">
        <f t="shared" si="62"/>
        <v>96436</v>
      </c>
      <c r="B1729">
        <f t="shared" ca="1" si="63"/>
        <v>577</v>
      </c>
      <c r="C1729" t="s">
        <v>40</v>
      </c>
    </row>
    <row r="1730" spans="1:3" x14ac:dyDescent="0.25">
      <c r="A1730" s="71">
        <f t="shared" si="62"/>
        <v>96466</v>
      </c>
      <c r="B1730">
        <f t="shared" ca="1" si="63"/>
        <v>577</v>
      </c>
      <c r="C1730" t="s">
        <v>40</v>
      </c>
    </row>
    <row r="1731" spans="1:3" x14ac:dyDescent="0.25">
      <c r="A1731" s="71">
        <f t="shared" si="62"/>
        <v>96496</v>
      </c>
      <c r="B1731">
        <f t="shared" ca="1" si="63"/>
        <v>577</v>
      </c>
      <c r="C1731" t="s">
        <v>40</v>
      </c>
    </row>
    <row r="1732" spans="1:3" x14ac:dyDescent="0.25">
      <c r="A1732" s="71">
        <f t="shared" si="62"/>
        <v>96526</v>
      </c>
      <c r="B1732">
        <f t="shared" ca="1" si="63"/>
        <v>577</v>
      </c>
      <c r="C1732" t="s">
        <v>40</v>
      </c>
    </row>
    <row r="1733" spans="1:3" x14ac:dyDescent="0.25">
      <c r="A1733" s="71">
        <f t="shared" si="62"/>
        <v>96556</v>
      </c>
      <c r="B1733">
        <f t="shared" ca="1" si="63"/>
        <v>577</v>
      </c>
      <c r="C1733" t="s">
        <v>40</v>
      </c>
    </row>
    <row r="1734" spans="1:3" x14ac:dyDescent="0.25">
      <c r="A1734" s="71">
        <f t="shared" si="62"/>
        <v>96586</v>
      </c>
      <c r="B1734">
        <f t="shared" ca="1" si="63"/>
        <v>577</v>
      </c>
      <c r="C1734" t="s">
        <v>40</v>
      </c>
    </row>
    <row r="1735" spans="1:3" x14ac:dyDescent="0.25">
      <c r="A1735" s="71">
        <f t="shared" si="62"/>
        <v>96616</v>
      </c>
      <c r="B1735">
        <f t="shared" ca="1" si="63"/>
        <v>577</v>
      </c>
      <c r="C1735" t="s">
        <v>40</v>
      </c>
    </row>
    <row r="1736" spans="1:3" x14ac:dyDescent="0.25">
      <c r="A1736" s="71">
        <f t="shared" si="62"/>
        <v>96646</v>
      </c>
      <c r="B1736">
        <f t="shared" ca="1" si="63"/>
        <v>577</v>
      </c>
      <c r="C1736" t="s">
        <v>40</v>
      </c>
    </row>
    <row r="1737" spans="1:3" x14ac:dyDescent="0.25">
      <c r="A1737" s="71">
        <f t="shared" si="62"/>
        <v>96676</v>
      </c>
      <c r="B1737">
        <f t="shared" ca="1" si="63"/>
        <v>577</v>
      </c>
      <c r="C1737" t="s">
        <v>40</v>
      </c>
    </row>
    <row r="1738" spans="1:3" x14ac:dyDescent="0.25">
      <c r="A1738" s="71">
        <f t="shared" si="62"/>
        <v>96706</v>
      </c>
      <c r="B1738">
        <f t="shared" ca="1" si="63"/>
        <v>577</v>
      </c>
      <c r="C1738" t="s">
        <v>40</v>
      </c>
    </row>
    <row r="1739" spans="1:3" x14ac:dyDescent="0.25">
      <c r="A1739" s="71">
        <f t="shared" si="62"/>
        <v>96736</v>
      </c>
      <c r="B1739">
        <f t="shared" ca="1" si="63"/>
        <v>577</v>
      </c>
      <c r="C1739" t="s">
        <v>40</v>
      </c>
    </row>
    <row r="1740" spans="1:3" x14ac:dyDescent="0.25">
      <c r="A1740" s="71">
        <f t="shared" ref="A1740:A1803" si="64">A1739+30</f>
        <v>96766</v>
      </c>
      <c r="B1740">
        <f t="shared" ref="B1740:B1803" ca="1" si="65">B1739</f>
        <v>577</v>
      </c>
      <c r="C1740" t="s">
        <v>40</v>
      </c>
    </row>
    <row r="1741" spans="1:3" x14ac:dyDescent="0.25">
      <c r="A1741" s="71">
        <f t="shared" si="64"/>
        <v>96796</v>
      </c>
      <c r="B1741">
        <f t="shared" ca="1" si="65"/>
        <v>577</v>
      </c>
      <c r="C1741" t="s">
        <v>40</v>
      </c>
    </row>
    <row r="1742" spans="1:3" x14ac:dyDescent="0.25">
      <c r="A1742" s="71">
        <f t="shared" si="64"/>
        <v>96826</v>
      </c>
      <c r="B1742">
        <f t="shared" ca="1" si="65"/>
        <v>577</v>
      </c>
      <c r="C1742" t="s">
        <v>40</v>
      </c>
    </row>
    <row r="1743" spans="1:3" x14ac:dyDescent="0.25">
      <c r="A1743" s="71">
        <f t="shared" si="64"/>
        <v>96856</v>
      </c>
      <c r="B1743">
        <f t="shared" ca="1" si="65"/>
        <v>577</v>
      </c>
      <c r="C1743" t="s">
        <v>40</v>
      </c>
    </row>
    <row r="1744" spans="1:3" x14ac:dyDescent="0.25">
      <c r="A1744" s="71">
        <f t="shared" si="64"/>
        <v>96886</v>
      </c>
      <c r="B1744">
        <f t="shared" ca="1" si="65"/>
        <v>577</v>
      </c>
      <c r="C1744" t="s">
        <v>40</v>
      </c>
    </row>
    <row r="1745" spans="1:3" x14ac:dyDescent="0.25">
      <c r="A1745" s="71">
        <f t="shared" si="64"/>
        <v>96916</v>
      </c>
      <c r="B1745">
        <f t="shared" ca="1" si="65"/>
        <v>577</v>
      </c>
      <c r="C1745" t="s">
        <v>40</v>
      </c>
    </row>
    <row r="1746" spans="1:3" x14ac:dyDescent="0.25">
      <c r="A1746" s="71">
        <f t="shared" si="64"/>
        <v>96946</v>
      </c>
      <c r="B1746">
        <f t="shared" ca="1" si="65"/>
        <v>577</v>
      </c>
      <c r="C1746" t="s">
        <v>40</v>
      </c>
    </row>
    <row r="1747" spans="1:3" x14ac:dyDescent="0.25">
      <c r="A1747" s="71">
        <f t="shared" si="64"/>
        <v>96976</v>
      </c>
      <c r="B1747">
        <f t="shared" ca="1" si="65"/>
        <v>577</v>
      </c>
      <c r="C1747" t="s">
        <v>40</v>
      </c>
    </row>
    <row r="1748" spans="1:3" x14ac:dyDescent="0.25">
      <c r="A1748" s="71">
        <f t="shared" si="64"/>
        <v>97006</v>
      </c>
      <c r="B1748">
        <f t="shared" ca="1" si="65"/>
        <v>577</v>
      </c>
      <c r="C1748" t="s">
        <v>40</v>
      </c>
    </row>
    <row r="1749" spans="1:3" x14ac:dyDescent="0.25">
      <c r="A1749" s="71">
        <f t="shared" si="64"/>
        <v>97036</v>
      </c>
      <c r="B1749">
        <f t="shared" ca="1" si="65"/>
        <v>577</v>
      </c>
      <c r="C1749" t="s">
        <v>40</v>
      </c>
    </row>
    <row r="1750" spans="1:3" x14ac:dyDescent="0.25">
      <c r="A1750" s="71">
        <f t="shared" si="64"/>
        <v>97066</v>
      </c>
      <c r="B1750">
        <f t="shared" ca="1" si="65"/>
        <v>577</v>
      </c>
      <c r="C1750" t="s">
        <v>40</v>
      </c>
    </row>
    <row r="1751" spans="1:3" x14ac:dyDescent="0.25">
      <c r="A1751" s="71">
        <f t="shared" si="64"/>
        <v>97096</v>
      </c>
      <c r="B1751">
        <f t="shared" ca="1" si="65"/>
        <v>577</v>
      </c>
      <c r="C1751" t="s">
        <v>40</v>
      </c>
    </row>
    <row r="1752" spans="1:3" x14ac:dyDescent="0.25">
      <c r="A1752" s="71">
        <f t="shared" si="64"/>
        <v>97126</v>
      </c>
      <c r="B1752">
        <f t="shared" ca="1" si="65"/>
        <v>577</v>
      </c>
      <c r="C1752" t="s">
        <v>40</v>
      </c>
    </row>
    <row r="1753" spans="1:3" x14ac:dyDescent="0.25">
      <c r="A1753" s="71">
        <f t="shared" si="64"/>
        <v>97156</v>
      </c>
      <c r="B1753">
        <f t="shared" ca="1" si="65"/>
        <v>577</v>
      </c>
      <c r="C1753" t="s">
        <v>40</v>
      </c>
    </row>
    <row r="1754" spans="1:3" x14ac:dyDescent="0.25">
      <c r="A1754" s="71">
        <f t="shared" si="64"/>
        <v>97186</v>
      </c>
      <c r="B1754">
        <f t="shared" ca="1" si="65"/>
        <v>577</v>
      </c>
      <c r="C1754" t="s">
        <v>40</v>
      </c>
    </row>
    <row r="1755" spans="1:3" x14ac:dyDescent="0.25">
      <c r="A1755" s="71">
        <f t="shared" si="64"/>
        <v>97216</v>
      </c>
      <c r="B1755">
        <f t="shared" ca="1" si="65"/>
        <v>577</v>
      </c>
      <c r="C1755" t="s">
        <v>40</v>
      </c>
    </row>
    <row r="1756" spans="1:3" x14ac:dyDescent="0.25">
      <c r="A1756" s="71">
        <f t="shared" si="64"/>
        <v>97246</v>
      </c>
      <c r="B1756">
        <f t="shared" ca="1" si="65"/>
        <v>577</v>
      </c>
      <c r="C1756" t="s">
        <v>40</v>
      </c>
    </row>
    <row r="1757" spans="1:3" x14ac:dyDescent="0.25">
      <c r="A1757" s="71">
        <f t="shared" si="64"/>
        <v>97276</v>
      </c>
      <c r="B1757">
        <f t="shared" ca="1" si="65"/>
        <v>577</v>
      </c>
      <c r="C1757" t="s">
        <v>40</v>
      </c>
    </row>
    <row r="1758" spans="1:3" x14ac:dyDescent="0.25">
      <c r="A1758" s="71">
        <f t="shared" si="64"/>
        <v>97306</v>
      </c>
      <c r="B1758">
        <f t="shared" ca="1" si="65"/>
        <v>577</v>
      </c>
      <c r="C1758" t="s">
        <v>40</v>
      </c>
    </row>
    <row r="1759" spans="1:3" x14ac:dyDescent="0.25">
      <c r="A1759" s="71">
        <f t="shared" si="64"/>
        <v>97336</v>
      </c>
      <c r="B1759">
        <f t="shared" ca="1" si="65"/>
        <v>577</v>
      </c>
      <c r="C1759" t="s">
        <v>40</v>
      </c>
    </row>
    <row r="1760" spans="1:3" x14ac:dyDescent="0.25">
      <c r="A1760" s="71">
        <f t="shared" si="64"/>
        <v>97366</v>
      </c>
      <c r="B1760">
        <f t="shared" ca="1" si="65"/>
        <v>577</v>
      </c>
      <c r="C1760" t="s">
        <v>40</v>
      </c>
    </row>
    <row r="1761" spans="1:3" x14ac:dyDescent="0.25">
      <c r="A1761" s="71">
        <f t="shared" si="64"/>
        <v>97396</v>
      </c>
      <c r="B1761">
        <f t="shared" ca="1" si="65"/>
        <v>577</v>
      </c>
      <c r="C1761" t="s">
        <v>40</v>
      </c>
    </row>
    <row r="1762" spans="1:3" x14ac:dyDescent="0.25">
      <c r="A1762" s="71">
        <f t="shared" si="64"/>
        <v>97426</v>
      </c>
      <c r="B1762">
        <f t="shared" ca="1" si="65"/>
        <v>577</v>
      </c>
      <c r="C1762" t="s">
        <v>40</v>
      </c>
    </row>
    <row r="1763" spans="1:3" x14ac:dyDescent="0.25">
      <c r="A1763" s="71">
        <f t="shared" si="64"/>
        <v>97456</v>
      </c>
      <c r="B1763">
        <f t="shared" ca="1" si="65"/>
        <v>577</v>
      </c>
      <c r="C1763" t="s">
        <v>40</v>
      </c>
    </row>
    <row r="1764" spans="1:3" x14ac:dyDescent="0.25">
      <c r="A1764" s="71">
        <f t="shared" si="64"/>
        <v>97486</v>
      </c>
      <c r="B1764">
        <f t="shared" ca="1" si="65"/>
        <v>577</v>
      </c>
      <c r="C1764" t="s">
        <v>40</v>
      </c>
    </row>
    <row r="1765" spans="1:3" x14ac:dyDescent="0.25">
      <c r="A1765" s="71">
        <f t="shared" si="64"/>
        <v>97516</v>
      </c>
      <c r="B1765">
        <f t="shared" ca="1" si="65"/>
        <v>577</v>
      </c>
      <c r="C1765" t="s">
        <v>40</v>
      </c>
    </row>
    <row r="1766" spans="1:3" x14ac:dyDescent="0.25">
      <c r="A1766" s="71">
        <f t="shared" si="64"/>
        <v>97546</v>
      </c>
      <c r="B1766">
        <f t="shared" ca="1" si="65"/>
        <v>577</v>
      </c>
      <c r="C1766" t="s">
        <v>40</v>
      </c>
    </row>
    <row r="1767" spans="1:3" x14ac:dyDescent="0.25">
      <c r="A1767" s="71">
        <f t="shared" si="64"/>
        <v>97576</v>
      </c>
      <c r="B1767">
        <f t="shared" ca="1" si="65"/>
        <v>577</v>
      </c>
      <c r="C1767" t="s">
        <v>40</v>
      </c>
    </row>
    <row r="1768" spans="1:3" x14ac:dyDescent="0.25">
      <c r="A1768" s="71">
        <f t="shared" si="64"/>
        <v>97606</v>
      </c>
      <c r="B1768">
        <f t="shared" ca="1" si="65"/>
        <v>577</v>
      </c>
      <c r="C1768" t="s">
        <v>40</v>
      </c>
    </row>
    <row r="1769" spans="1:3" x14ac:dyDescent="0.25">
      <c r="A1769" s="71">
        <f t="shared" si="64"/>
        <v>97636</v>
      </c>
      <c r="B1769">
        <f t="shared" ca="1" si="65"/>
        <v>577</v>
      </c>
      <c r="C1769" t="s">
        <v>40</v>
      </c>
    </row>
    <row r="1770" spans="1:3" x14ac:dyDescent="0.25">
      <c r="A1770" s="71">
        <f t="shared" si="64"/>
        <v>97666</v>
      </c>
      <c r="B1770">
        <f t="shared" ca="1" si="65"/>
        <v>577</v>
      </c>
      <c r="C1770" t="s">
        <v>40</v>
      </c>
    </row>
    <row r="1771" spans="1:3" x14ac:dyDescent="0.25">
      <c r="A1771" s="71">
        <f t="shared" si="64"/>
        <v>97696</v>
      </c>
      <c r="B1771">
        <f t="shared" ca="1" si="65"/>
        <v>577</v>
      </c>
      <c r="C1771" t="s">
        <v>40</v>
      </c>
    </row>
    <row r="1772" spans="1:3" x14ac:dyDescent="0.25">
      <c r="A1772" s="71">
        <f t="shared" si="64"/>
        <v>97726</v>
      </c>
      <c r="B1772">
        <f t="shared" ca="1" si="65"/>
        <v>577</v>
      </c>
      <c r="C1772" t="s">
        <v>40</v>
      </c>
    </row>
    <row r="1773" spans="1:3" x14ac:dyDescent="0.25">
      <c r="A1773" s="71">
        <f t="shared" si="64"/>
        <v>97756</v>
      </c>
      <c r="B1773">
        <f t="shared" ca="1" si="65"/>
        <v>577</v>
      </c>
      <c r="C1773" t="s">
        <v>40</v>
      </c>
    </row>
    <row r="1774" spans="1:3" x14ac:dyDescent="0.25">
      <c r="A1774" s="71">
        <f t="shared" si="64"/>
        <v>97786</v>
      </c>
      <c r="B1774">
        <f t="shared" ca="1" si="65"/>
        <v>577</v>
      </c>
      <c r="C1774" t="s">
        <v>40</v>
      </c>
    </row>
    <row r="1775" spans="1:3" x14ac:dyDescent="0.25">
      <c r="A1775" s="71">
        <f t="shared" si="64"/>
        <v>97816</v>
      </c>
      <c r="B1775">
        <f t="shared" ca="1" si="65"/>
        <v>577</v>
      </c>
      <c r="C1775" t="s">
        <v>40</v>
      </c>
    </row>
    <row r="1776" spans="1:3" x14ac:dyDescent="0.25">
      <c r="A1776" s="71">
        <f t="shared" si="64"/>
        <v>97846</v>
      </c>
      <c r="B1776">
        <f t="shared" ca="1" si="65"/>
        <v>577</v>
      </c>
      <c r="C1776" t="s">
        <v>40</v>
      </c>
    </row>
    <row r="1777" spans="1:3" x14ac:dyDescent="0.25">
      <c r="A1777" s="71">
        <f t="shared" si="64"/>
        <v>97876</v>
      </c>
      <c r="B1777">
        <f t="shared" ca="1" si="65"/>
        <v>577</v>
      </c>
      <c r="C1777" t="s">
        <v>40</v>
      </c>
    </row>
    <row r="1778" spans="1:3" x14ac:dyDescent="0.25">
      <c r="A1778" s="71">
        <f t="shared" si="64"/>
        <v>97906</v>
      </c>
      <c r="B1778">
        <f t="shared" ca="1" si="65"/>
        <v>577</v>
      </c>
      <c r="C1778" t="s">
        <v>40</v>
      </c>
    </row>
    <row r="1779" spans="1:3" x14ac:dyDescent="0.25">
      <c r="A1779" s="71">
        <f t="shared" si="64"/>
        <v>97936</v>
      </c>
      <c r="B1779">
        <f t="shared" ca="1" si="65"/>
        <v>577</v>
      </c>
      <c r="C1779" t="s">
        <v>40</v>
      </c>
    </row>
    <row r="1780" spans="1:3" x14ac:dyDescent="0.25">
      <c r="A1780" s="71">
        <f t="shared" si="64"/>
        <v>97966</v>
      </c>
      <c r="B1780">
        <f t="shared" ca="1" si="65"/>
        <v>577</v>
      </c>
      <c r="C1780" t="s">
        <v>40</v>
      </c>
    </row>
    <row r="1781" spans="1:3" x14ac:dyDescent="0.25">
      <c r="A1781" s="71">
        <f t="shared" si="64"/>
        <v>97996</v>
      </c>
      <c r="B1781">
        <f t="shared" ca="1" si="65"/>
        <v>577</v>
      </c>
      <c r="C1781" t="s">
        <v>40</v>
      </c>
    </row>
    <row r="1782" spans="1:3" x14ac:dyDescent="0.25">
      <c r="A1782" s="71">
        <f t="shared" si="64"/>
        <v>98026</v>
      </c>
      <c r="B1782">
        <f t="shared" ca="1" si="65"/>
        <v>577</v>
      </c>
      <c r="C1782" t="s">
        <v>40</v>
      </c>
    </row>
    <row r="1783" spans="1:3" x14ac:dyDescent="0.25">
      <c r="A1783" s="71">
        <f t="shared" si="64"/>
        <v>98056</v>
      </c>
      <c r="B1783">
        <f t="shared" ca="1" si="65"/>
        <v>577</v>
      </c>
      <c r="C1783" t="s">
        <v>40</v>
      </c>
    </row>
    <row r="1784" spans="1:3" x14ac:dyDescent="0.25">
      <c r="A1784" s="71">
        <f t="shared" si="64"/>
        <v>98086</v>
      </c>
      <c r="B1784">
        <f t="shared" ca="1" si="65"/>
        <v>577</v>
      </c>
      <c r="C1784" t="s">
        <v>40</v>
      </c>
    </row>
    <row r="1785" spans="1:3" x14ac:dyDescent="0.25">
      <c r="A1785" s="71">
        <f t="shared" si="64"/>
        <v>98116</v>
      </c>
      <c r="B1785">
        <f t="shared" ca="1" si="65"/>
        <v>577</v>
      </c>
      <c r="C1785" t="s">
        <v>40</v>
      </c>
    </row>
    <row r="1786" spans="1:3" x14ac:dyDescent="0.25">
      <c r="A1786" s="71">
        <f t="shared" si="64"/>
        <v>98146</v>
      </c>
      <c r="B1786">
        <f t="shared" ca="1" si="65"/>
        <v>577</v>
      </c>
      <c r="C1786" t="s">
        <v>40</v>
      </c>
    </row>
    <row r="1787" spans="1:3" x14ac:dyDescent="0.25">
      <c r="A1787" s="71">
        <f t="shared" si="64"/>
        <v>98176</v>
      </c>
      <c r="B1787">
        <f t="shared" ca="1" si="65"/>
        <v>577</v>
      </c>
      <c r="C1787" t="s">
        <v>40</v>
      </c>
    </row>
    <row r="1788" spans="1:3" x14ac:dyDescent="0.25">
      <c r="A1788" s="71">
        <f t="shared" si="64"/>
        <v>98206</v>
      </c>
      <c r="B1788">
        <f t="shared" ca="1" si="65"/>
        <v>577</v>
      </c>
      <c r="C1788" t="s">
        <v>40</v>
      </c>
    </row>
    <row r="1789" spans="1:3" x14ac:dyDescent="0.25">
      <c r="A1789" s="71">
        <f t="shared" si="64"/>
        <v>98236</v>
      </c>
      <c r="B1789">
        <f t="shared" ca="1" si="65"/>
        <v>577</v>
      </c>
      <c r="C1789" t="s">
        <v>40</v>
      </c>
    </row>
    <row r="1790" spans="1:3" x14ac:dyDescent="0.25">
      <c r="A1790" s="71">
        <f t="shared" si="64"/>
        <v>98266</v>
      </c>
      <c r="B1790">
        <f t="shared" ca="1" si="65"/>
        <v>577</v>
      </c>
      <c r="C1790" t="s">
        <v>40</v>
      </c>
    </row>
    <row r="1791" spans="1:3" x14ac:dyDescent="0.25">
      <c r="A1791" s="71">
        <f t="shared" si="64"/>
        <v>98296</v>
      </c>
      <c r="B1791">
        <f t="shared" ca="1" si="65"/>
        <v>577</v>
      </c>
      <c r="C1791" t="s">
        <v>40</v>
      </c>
    </row>
    <row r="1792" spans="1:3" x14ac:dyDescent="0.25">
      <c r="A1792" s="71">
        <f t="shared" si="64"/>
        <v>98326</v>
      </c>
      <c r="B1792">
        <f t="shared" ca="1" si="65"/>
        <v>577</v>
      </c>
      <c r="C1792" t="s">
        <v>40</v>
      </c>
    </row>
    <row r="1793" spans="1:3" x14ac:dyDescent="0.25">
      <c r="A1793" s="71">
        <f t="shared" si="64"/>
        <v>98356</v>
      </c>
      <c r="B1793">
        <f t="shared" ca="1" si="65"/>
        <v>577</v>
      </c>
      <c r="C1793" t="s">
        <v>40</v>
      </c>
    </row>
    <row r="1794" spans="1:3" x14ac:dyDescent="0.25">
      <c r="A1794" s="71">
        <f t="shared" si="64"/>
        <v>98386</v>
      </c>
      <c r="B1794">
        <f t="shared" ca="1" si="65"/>
        <v>577</v>
      </c>
      <c r="C1794" t="s">
        <v>40</v>
      </c>
    </row>
    <row r="1795" spans="1:3" x14ac:dyDescent="0.25">
      <c r="A1795" s="71">
        <f t="shared" si="64"/>
        <v>98416</v>
      </c>
      <c r="B1795">
        <f t="shared" ca="1" si="65"/>
        <v>577</v>
      </c>
      <c r="C1795" t="s">
        <v>40</v>
      </c>
    </row>
    <row r="1796" spans="1:3" x14ac:dyDescent="0.25">
      <c r="A1796" s="71">
        <f t="shared" si="64"/>
        <v>98446</v>
      </c>
      <c r="B1796">
        <f t="shared" ca="1" si="65"/>
        <v>577</v>
      </c>
      <c r="C1796" t="s">
        <v>40</v>
      </c>
    </row>
    <row r="1797" spans="1:3" x14ac:dyDescent="0.25">
      <c r="A1797" s="71">
        <f t="shared" si="64"/>
        <v>98476</v>
      </c>
      <c r="B1797">
        <f t="shared" ca="1" si="65"/>
        <v>577</v>
      </c>
      <c r="C1797" t="s">
        <v>40</v>
      </c>
    </row>
    <row r="1798" spans="1:3" x14ac:dyDescent="0.25">
      <c r="A1798" s="71">
        <f t="shared" si="64"/>
        <v>98506</v>
      </c>
      <c r="B1798">
        <f t="shared" ca="1" si="65"/>
        <v>577</v>
      </c>
      <c r="C1798" t="s">
        <v>40</v>
      </c>
    </row>
    <row r="1799" spans="1:3" x14ac:dyDescent="0.25">
      <c r="A1799" s="71">
        <f t="shared" si="64"/>
        <v>98536</v>
      </c>
      <c r="B1799">
        <f t="shared" ca="1" si="65"/>
        <v>577</v>
      </c>
      <c r="C1799" t="s">
        <v>40</v>
      </c>
    </row>
    <row r="1800" spans="1:3" x14ac:dyDescent="0.25">
      <c r="A1800" s="71">
        <f t="shared" si="64"/>
        <v>98566</v>
      </c>
      <c r="B1800">
        <f t="shared" ca="1" si="65"/>
        <v>577</v>
      </c>
      <c r="C1800" t="s">
        <v>40</v>
      </c>
    </row>
    <row r="1801" spans="1:3" x14ac:dyDescent="0.25">
      <c r="A1801" s="71">
        <f t="shared" si="64"/>
        <v>98596</v>
      </c>
      <c r="B1801">
        <f t="shared" ca="1" si="65"/>
        <v>577</v>
      </c>
      <c r="C1801" t="s">
        <v>40</v>
      </c>
    </row>
    <row r="1802" spans="1:3" x14ac:dyDescent="0.25">
      <c r="A1802" s="71">
        <f t="shared" si="64"/>
        <v>98626</v>
      </c>
      <c r="B1802">
        <f t="shared" ca="1" si="65"/>
        <v>577</v>
      </c>
      <c r="C1802" t="s">
        <v>40</v>
      </c>
    </row>
    <row r="1803" spans="1:3" x14ac:dyDescent="0.25">
      <c r="A1803" s="71">
        <f t="shared" si="64"/>
        <v>98656</v>
      </c>
      <c r="B1803">
        <f t="shared" ca="1" si="65"/>
        <v>577</v>
      </c>
      <c r="C1803" t="s">
        <v>40</v>
      </c>
    </row>
    <row r="1804" spans="1:3" x14ac:dyDescent="0.25">
      <c r="A1804" s="71">
        <f t="shared" ref="A1804:A1867" si="66">A1803+30</f>
        <v>98686</v>
      </c>
      <c r="B1804">
        <f t="shared" ref="B1804:B1867" ca="1" si="67">B1803</f>
        <v>577</v>
      </c>
      <c r="C1804" t="s">
        <v>40</v>
      </c>
    </row>
    <row r="1805" spans="1:3" x14ac:dyDescent="0.25">
      <c r="A1805" s="71">
        <f t="shared" si="66"/>
        <v>98716</v>
      </c>
      <c r="B1805">
        <f t="shared" ca="1" si="67"/>
        <v>577</v>
      </c>
      <c r="C1805" t="s">
        <v>40</v>
      </c>
    </row>
    <row r="1806" spans="1:3" x14ac:dyDescent="0.25">
      <c r="A1806" s="71">
        <f t="shared" si="66"/>
        <v>98746</v>
      </c>
      <c r="B1806">
        <f t="shared" ca="1" si="67"/>
        <v>577</v>
      </c>
      <c r="C1806" t="s">
        <v>40</v>
      </c>
    </row>
    <row r="1807" spans="1:3" x14ac:dyDescent="0.25">
      <c r="A1807" s="71">
        <f t="shared" si="66"/>
        <v>98776</v>
      </c>
      <c r="B1807">
        <f t="shared" ca="1" si="67"/>
        <v>577</v>
      </c>
      <c r="C1807" t="s">
        <v>40</v>
      </c>
    </row>
    <row r="1808" spans="1:3" x14ac:dyDescent="0.25">
      <c r="A1808" s="71">
        <f t="shared" si="66"/>
        <v>98806</v>
      </c>
      <c r="B1808">
        <f t="shared" ca="1" si="67"/>
        <v>577</v>
      </c>
      <c r="C1808" t="s">
        <v>40</v>
      </c>
    </row>
    <row r="1809" spans="1:3" x14ac:dyDescent="0.25">
      <c r="A1809" s="71">
        <f t="shared" si="66"/>
        <v>98836</v>
      </c>
      <c r="B1809">
        <f t="shared" ca="1" si="67"/>
        <v>577</v>
      </c>
      <c r="C1809" t="s">
        <v>40</v>
      </c>
    </row>
    <row r="1810" spans="1:3" x14ac:dyDescent="0.25">
      <c r="A1810" s="71">
        <f t="shared" si="66"/>
        <v>98866</v>
      </c>
      <c r="B1810">
        <f t="shared" ca="1" si="67"/>
        <v>577</v>
      </c>
      <c r="C1810" t="s">
        <v>40</v>
      </c>
    </row>
    <row r="1811" spans="1:3" x14ac:dyDescent="0.25">
      <c r="A1811" s="71">
        <f t="shared" si="66"/>
        <v>98896</v>
      </c>
      <c r="B1811">
        <f t="shared" ca="1" si="67"/>
        <v>577</v>
      </c>
      <c r="C1811" t="s">
        <v>40</v>
      </c>
    </row>
    <row r="1812" spans="1:3" x14ac:dyDescent="0.25">
      <c r="A1812" s="71">
        <f t="shared" si="66"/>
        <v>98926</v>
      </c>
      <c r="B1812">
        <f t="shared" ca="1" si="67"/>
        <v>577</v>
      </c>
      <c r="C1812" t="s">
        <v>40</v>
      </c>
    </row>
    <row r="1813" spans="1:3" x14ac:dyDescent="0.25">
      <c r="A1813" s="71">
        <f t="shared" si="66"/>
        <v>98956</v>
      </c>
      <c r="B1813">
        <f t="shared" ca="1" si="67"/>
        <v>577</v>
      </c>
      <c r="C1813" t="s">
        <v>40</v>
      </c>
    </row>
    <row r="1814" spans="1:3" x14ac:dyDescent="0.25">
      <c r="A1814" s="71">
        <f t="shared" si="66"/>
        <v>98986</v>
      </c>
      <c r="B1814">
        <f t="shared" ca="1" si="67"/>
        <v>577</v>
      </c>
      <c r="C1814" t="s">
        <v>40</v>
      </c>
    </row>
    <row r="1815" spans="1:3" x14ac:dyDescent="0.25">
      <c r="A1815" s="71">
        <f t="shared" si="66"/>
        <v>99016</v>
      </c>
      <c r="B1815">
        <f t="shared" ca="1" si="67"/>
        <v>577</v>
      </c>
      <c r="C1815" t="s">
        <v>40</v>
      </c>
    </row>
    <row r="1816" spans="1:3" x14ac:dyDescent="0.25">
      <c r="A1816" s="71">
        <f t="shared" si="66"/>
        <v>99046</v>
      </c>
      <c r="B1816">
        <f t="shared" ca="1" si="67"/>
        <v>577</v>
      </c>
      <c r="C1816" t="s">
        <v>40</v>
      </c>
    </row>
    <row r="1817" spans="1:3" x14ac:dyDescent="0.25">
      <c r="A1817" s="71">
        <f t="shared" si="66"/>
        <v>99076</v>
      </c>
      <c r="B1817">
        <f t="shared" ca="1" si="67"/>
        <v>577</v>
      </c>
      <c r="C1817" t="s">
        <v>40</v>
      </c>
    </row>
    <row r="1818" spans="1:3" x14ac:dyDescent="0.25">
      <c r="A1818" s="71">
        <f t="shared" si="66"/>
        <v>99106</v>
      </c>
      <c r="B1818">
        <f t="shared" ca="1" si="67"/>
        <v>577</v>
      </c>
      <c r="C1818" t="s">
        <v>40</v>
      </c>
    </row>
    <row r="1819" spans="1:3" x14ac:dyDescent="0.25">
      <c r="A1819" s="71">
        <f t="shared" si="66"/>
        <v>99136</v>
      </c>
      <c r="B1819">
        <f t="shared" ca="1" si="67"/>
        <v>577</v>
      </c>
      <c r="C1819" t="s">
        <v>40</v>
      </c>
    </row>
    <row r="1820" spans="1:3" x14ac:dyDescent="0.25">
      <c r="A1820" s="71">
        <f t="shared" si="66"/>
        <v>99166</v>
      </c>
      <c r="B1820">
        <f t="shared" ca="1" si="67"/>
        <v>577</v>
      </c>
      <c r="C1820" t="s">
        <v>40</v>
      </c>
    </row>
    <row r="1821" spans="1:3" x14ac:dyDescent="0.25">
      <c r="A1821" s="71">
        <f t="shared" si="66"/>
        <v>99196</v>
      </c>
      <c r="B1821">
        <f t="shared" ca="1" si="67"/>
        <v>577</v>
      </c>
      <c r="C1821" t="s">
        <v>40</v>
      </c>
    </row>
    <row r="1822" spans="1:3" x14ac:dyDescent="0.25">
      <c r="A1822" s="71">
        <f t="shared" si="66"/>
        <v>99226</v>
      </c>
      <c r="B1822">
        <f t="shared" ca="1" si="67"/>
        <v>577</v>
      </c>
      <c r="C1822" t="s">
        <v>40</v>
      </c>
    </row>
    <row r="1823" spans="1:3" x14ac:dyDescent="0.25">
      <c r="A1823" s="71">
        <f t="shared" si="66"/>
        <v>99256</v>
      </c>
      <c r="B1823">
        <f t="shared" ca="1" si="67"/>
        <v>577</v>
      </c>
      <c r="C1823" t="s">
        <v>40</v>
      </c>
    </row>
    <row r="1824" spans="1:3" x14ac:dyDescent="0.25">
      <c r="A1824" s="71">
        <f t="shared" si="66"/>
        <v>99286</v>
      </c>
      <c r="B1824">
        <f t="shared" ca="1" si="67"/>
        <v>577</v>
      </c>
      <c r="C1824" t="s">
        <v>40</v>
      </c>
    </row>
    <row r="1825" spans="1:3" x14ac:dyDescent="0.25">
      <c r="A1825" s="71">
        <f t="shared" si="66"/>
        <v>99316</v>
      </c>
      <c r="B1825">
        <f t="shared" ca="1" si="67"/>
        <v>577</v>
      </c>
      <c r="C1825" t="s">
        <v>40</v>
      </c>
    </row>
    <row r="1826" spans="1:3" x14ac:dyDescent="0.25">
      <c r="A1826" s="71">
        <f t="shared" si="66"/>
        <v>99346</v>
      </c>
      <c r="B1826">
        <f t="shared" ca="1" si="67"/>
        <v>577</v>
      </c>
      <c r="C1826" t="s">
        <v>40</v>
      </c>
    </row>
    <row r="1827" spans="1:3" x14ac:dyDescent="0.25">
      <c r="A1827" s="71">
        <f t="shared" si="66"/>
        <v>99376</v>
      </c>
      <c r="B1827">
        <f t="shared" ca="1" si="67"/>
        <v>577</v>
      </c>
      <c r="C1827" t="s">
        <v>40</v>
      </c>
    </row>
    <row r="1828" spans="1:3" x14ac:dyDescent="0.25">
      <c r="A1828" s="71">
        <f t="shared" si="66"/>
        <v>99406</v>
      </c>
      <c r="B1828">
        <f t="shared" ca="1" si="67"/>
        <v>577</v>
      </c>
      <c r="C1828" t="s">
        <v>40</v>
      </c>
    </row>
    <row r="1829" spans="1:3" x14ac:dyDescent="0.25">
      <c r="A1829" s="71">
        <f t="shared" si="66"/>
        <v>99436</v>
      </c>
      <c r="B1829">
        <f t="shared" ca="1" si="67"/>
        <v>577</v>
      </c>
      <c r="C1829" t="s">
        <v>40</v>
      </c>
    </row>
    <row r="1830" spans="1:3" x14ac:dyDescent="0.25">
      <c r="A1830" s="71">
        <f t="shared" si="66"/>
        <v>99466</v>
      </c>
      <c r="B1830">
        <f t="shared" ca="1" si="67"/>
        <v>577</v>
      </c>
      <c r="C1830" t="s">
        <v>40</v>
      </c>
    </row>
    <row r="1831" spans="1:3" x14ac:dyDescent="0.25">
      <c r="A1831" s="71">
        <f t="shared" si="66"/>
        <v>99496</v>
      </c>
      <c r="B1831">
        <f t="shared" ca="1" si="67"/>
        <v>577</v>
      </c>
      <c r="C1831" t="s">
        <v>40</v>
      </c>
    </row>
    <row r="1832" spans="1:3" x14ac:dyDescent="0.25">
      <c r="A1832" s="71">
        <f t="shared" si="66"/>
        <v>99526</v>
      </c>
      <c r="B1832">
        <f t="shared" ca="1" si="67"/>
        <v>577</v>
      </c>
      <c r="C1832" t="s">
        <v>40</v>
      </c>
    </row>
    <row r="1833" spans="1:3" x14ac:dyDescent="0.25">
      <c r="A1833" s="71">
        <f t="shared" si="66"/>
        <v>99556</v>
      </c>
      <c r="B1833">
        <f t="shared" ca="1" si="67"/>
        <v>577</v>
      </c>
      <c r="C1833" t="s">
        <v>40</v>
      </c>
    </row>
    <row r="1834" spans="1:3" x14ac:dyDescent="0.25">
      <c r="A1834" s="71">
        <f t="shared" si="66"/>
        <v>99586</v>
      </c>
      <c r="B1834">
        <f t="shared" ca="1" si="67"/>
        <v>577</v>
      </c>
      <c r="C1834" t="s">
        <v>40</v>
      </c>
    </row>
    <row r="1835" spans="1:3" x14ac:dyDescent="0.25">
      <c r="A1835" s="71">
        <f t="shared" si="66"/>
        <v>99616</v>
      </c>
      <c r="B1835">
        <f t="shared" ca="1" si="67"/>
        <v>577</v>
      </c>
      <c r="C1835" t="s">
        <v>40</v>
      </c>
    </row>
    <row r="1836" spans="1:3" x14ac:dyDescent="0.25">
      <c r="A1836" s="71">
        <f t="shared" si="66"/>
        <v>99646</v>
      </c>
      <c r="B1836">
        <f t="shared" ca="1" si="67"/>
        <v>577</v>
      </c>
      <c r="C1836" t="s">
        <v>40</v>
      </c>
    </row>
    <row r="1837" spans="1:3" x14ac:dyDescent="0.25">
      <c r="A1837" s="71">
        <f t="shared" si="66"/>
        <v>99676</v>
      </c>
      <c r="B1837">
        <f t="shared" ca="1" si="67"/>
        <v>577</v>
      </c>
      <c r="C1837" t="s">
        <v>40</v>
      </c>
    </row>
    <row r="1838" spans="1:3" x14ac:dyDescent="0.25">
      <c r="A1838" s="71">
        <f t="shared" si="66"/>
        <v>99706</v>
      </c>
      <c r="B1838">
        <f t="shared" ca="1" si="67"/>
        <v>577</v>
      </c>
      <c r="C1838" t="s">
        <v>40</v>
      </c>
    </row>
    <row r="1839" spans="1:3" x14ac:dyDescent="0.25">
      <c r="A1839" s="71">
        <f t="shared" si="66"/>
        <v>99736</v>
      </c>
      <c r="B1839">
        <f t="shared" ca="1" si="67"/>
        <v>577</v>
      </c>
      <c r="C1839" t="s">
        <v>40</v>
      </c>
    </row>
    <row r="1840" spans="1:3" x14ac:dyDescent="0.25">
      <c r="A1840" s="71">
        <f t="shared" si="66"/>
        <v>99766</v>
      </c>
      <c r="B1840">
        <f t="shared" ca="1" si="67"/>
        <v>577</v>
      </c>
      <c r="C1840" t="s">
        <v>40</v>
      </c>
    </row>
    <row r="1841" spans="1:3" x14ac:dyDescent="0.25">
      <c r="A1841" s="71">
        <f t="shared" si="66"/>
        <v>99796</v>
      </c>
      <c r="B1841">
        <f t="shared" ca="1" si="67"/>
        <v>577</v>
      </c>
      <c r="C1841" t="s">
        <v>40</v>
      </c>
    </row>
    <row r="1842" spans="1:3" x14ac:dyDescent="0.25">
      <c r="A1842" s="71">
        <f t="shared" si="66"/>
        <v>99826</v>
      </c>
      <c r="B1842">
        <f t="shared" ca="1" si="67"/>
        <v>577</v>
      </c>
      <c r="C1842" t="s">
        <v>40</v>
      </c>
    </row>
    <row r="1843" spans="1:3" x14ac:dyDescent="0.25">
      <c r="A1843" s="71">
        <f t="shared" si="66"/>
        <v>99856</v>
      </c>
      <c r="B1843">
        <f t="shared" ca="1" si="67"/>
        <v>577</v>
      </c>
      <c r="C1843" t="s">
        <v>40</v>
      </c>
    </row>
    <row r="1844" spans="1:3" x14ac:dyDescent="0.25">
      <c r="A1844" s="71">
        <f t="shared" si="66"/>
        <v>99886</v>
      </c>
      <c r="B1844">
        <f t="shared" ca="1" si="67"/>
        <v>577</v>
      </c>
      <c r="C1844" t="s">
        <v>40</v>
      </c>
    </row>
    <row r="1845" spans="1:3" x14ac:dyDescent="0.25">
      <c r="A1845" s="71">
        <f t="shared" si="66"/>
        <v>99916</v>
      </c>
      <c r="B1845">
        <f t="shared" ca="1" si="67"/>
        <v>577</v>
      </c>
      <c r="C1845" t="s">
        <v>40</v>
      </c>
    </row>
    <row r="1846" spans="1:3" x14ac:dyDescent="0.25">
      <c r="A1846" s="71">
        <f t="shared" si="66"/>
        <v>99946</v>
      </c>
      <c r="B1846">
        <f t="shared" ca="1" si="67"/>
        <v>577</v>
      </c>
      <c r="C1846" t="s">
        <v>40</v>
      </c>
    </row>
    <row r="1847" spans="1:3" x14ac:dyDescent="0.25">
      <c r="A1847" s="71">
        <f t="shared" si="66"/>
        <v>99976</v>
      </c>
      <c r="B1847">
        <f t="shared" ca="1" si="67"/>
        <v>577</v>
      </c>
      <c r="C1847" t="s">
        <v>40</v>
      </c>
    </row>
    <row r="1848" spans="1:3" x14ac:dyDescent="0.25">
      <c r="A1848" s="71">
        <f t="shared" si="66"/>
        <v>100006</v>
      </c>
      <c r="B1848">
        <f t="shared" ca="1" si="67"/>
        <v>577</v>
      </c>
      <c r="C1848" t="s">
        <v>40</v>
      </c>
    </row>
    <row r="1849" spans="1:3" x14ac:dyDescent="0.25">
      <c r="A1849" s="71">
        <f t="shared" si="66"/>
        <v>100036</v>
      </c>
      <c r="B1849">
        <f t="shared" ca="1" si="67"/>
        <v>577</v>
      </c>
      <c r="C1849" t="s">
        <v>40</v>
      </c>
    </row>
    <row r="1850" spans="1:3" x14ac:dyDescent="0.25">
      <c r="A1850" s="71">
        <f t="shared" si="66"/>
        <v>100066</v>
      </c>
      <c r="B1850">
        <f t="shared" ca="1" si="67"/>
        <v>577</v>
      </c>
      <c r="C1850" t="s">
        <v>40</v>
      </c>
    </row>
    <row r="1851" spans="1:3" x14ac:dyDescent="0.25">
      <c r="A1851" s="71">
        <f t="shared" si="66"/>
        <v>100096</v>
      </c>
      <c r="B1851">
        <f t="shared" ca="1" si="67"/>
        <v>577</v>
      </c>
      <c r="C1851" t="s">
        <v>40</v>
      </c>
    </row>
    <row r="1852" spans="1:3" x14ac:dyDescent="0.25">
      <c r="A1852" s="71">
        <f t="shared" si="66"/>
        <v>100126</v>
      </c>
      <c r="B1852">
        <f t="shared" ca="1" si="67"/>
        <v>577</v>
      </c>
      <c r="C1852" t="s">
        <v>40</v>
      </c>
    </row>
    <row r="1853" spans="1:3" x14ac:dyDescent="0.25">
      <c r="A1853" s="71">
        <f t="shared" si="66"/>
        <v>100156</v>
      </c>
      <c r="B1853">
        <f t="shared" ca="1" si="67"/>
        <v>577</v>
      </c>
      <c r="C1853" t="s">
        <v>40</v>
      </c>
    </row>
    <row r="1854" spans="1:3" x14ac:dyDescent="0.25">
      <c r="A1854" s="71">
        <f t="shared" si="66"/>
        <v>100186</v>
      </c>
      <c r="B1854">
        <f t="shared" ca="1" si="67"/>
        <v>577</v>
      </c>
      <c r="C1854" t="s">
        <v>40</v>
      </c>
    </row>
    <row r="1855" spans="1:3" x14ac:dyDescent="0.25">
      <c r="A1855" s="71">
        <f t="shared" si="66"/>
        <v>100216</v>
      </c>
      <c r="B1855">
        <f t="shared" ca="1" si="67"/>
        <v>577</v>
      </c>
      <c r="C1855" t="s">
        <v>40</v>
      </c>
    </row>
    <row r="1856" spans="1:3" x14ac:dyDescent="0.25">
      <c r="A1856" s="71">
        <f t="shared" si="66"/>
        <v>100246</v>
      </c>
      <c r="B1856">
        <f t="shared" ca="1" si="67"/>
        <v>577</v>
      </c>
      <c r="C1856" t="s">
        <v>40</v>
      </c>
    </row>
    <row r="1857" spans="1:3" x14ac:dyDescent="0.25">
      <c r="A1857" s="71">
        <f t="shared" si="66"/>
        <v>100276</v>
      </c>
      <c r="B1857">
        <f t="shared" ca="1" si="67"/>
        <v>577</v>
      </c>
      <c r="C1857" t="s">
        <v>40</v>
      </c>
    </row>
    <row r="1858" spans="1:3" x14ac:dyDescent="0.25">
      <c r="A1858" s="71">
        <f t="shared" si="66"/>
        <v>100306</v>
      </c>
      <c r="B1858">
        <f t="shared" ca="1" si="67"/>
        <v>577</v>
      </c>
      <c r="C1858" t="s">
        <v>40</v>
      </c>
    </row>
    <row r="1859" spans="1:3" x14ac:dyDescent="0.25">
      <c r="A1859" s="71">
        <f t="shared" si="66"/>
        <v>100336</v>
      </c>
      <c r="B1859">
        <f t="shared" ca="1" si="67"/>
        <v>577</v>
      </c>
      <c r="C1859" t="s">
        <v>40</v>
      </c>
    </row>
    <row r="1860" spans="1:3" x14ac:dyDescent="0.25">
      <c r="A1860" s="71">
        <f t="shared" si="66"/>
        <v>100366</v>
      </c>
      <c r="B1860">
        <f t="shared" ca="1" si="67"/>
        <v>577</v>
      </c>
      <c r="C1860" t="s">
        <v>40</v>
      </c>
    </row>
    <row r="1861" spans="1:3" x14ac:dyDescent="0.25">
      <c r="A1861" s="71">
        <f t="shared" si="66"/>
        <v>100396</v>
      </c>
      <c r="B1861">
        <f t="shared" ca="1" si="67"/>
        <v>577</v>
      </c>
      <c r="C1861" t="s">
        <v>40</v>
      </c>
    </row>
    <row r="1862" spans="1:3" x14ac:dyDescent="0.25">
      <c r="A1862" s="71">
        <f t="shared" si="66"/>
        <v>100426</v>
      </c>
      <c r="B1862">
        <f t="shared" ca="1" si="67"/>
        <v>577</v>
      </c>
      <c r="C1862" t="s">
        <v>40</v>
      </c>
    </row>
    <row r="1863" spans="1:3" x14ac:dyDescent="0.25">
      <c r="A1863" s="71">
        <f t="shared" si="66"/>
        <v>100456</v>
      </c>
      <c r="B1863">
        <f t="shared" ca="1" si="67"/>
        <v>577</v>
      </c>
      <c r="C1863" t="s">
        <v>40</v>
      </c>
    </row>
    <row r="1864" spans="1:3" x14ac:dyDescent="0.25">
      <c r="A1864" s="71">
        <f t="shared" si="66"/>
        <v>100486</v>
      </c>
      <c r="B1864">
        <f t="shared" ca="1" si="67"/>
        <v>577</v>
      </c>
      <c r="C1864" t="s">
        <v>40</v>
      </c>
    </row>
    <row r="1865" spans="1:3" x14ac:dyDescent="0.25">
      <c r="A1865" s="71">
        <f t="shared" si="66"/>
        <v>100516</v>
      </c>
      <c r="B1865">
        <f t="shared" ca="1" si="67"/>
        <v>577</v>
      </c>
      <c r="C1865" t="s">
        <v>40</v>
      </c>
    </row>
    <row r="1866" spans="1:3" x14ac:dyDescent="0.25">
      <c r="A1866" s="71">
        <f t="shared" si="66"/>
        <v>100546</v>
      </c>
      <c r="B1866">
        <f t="shared" ca="1" si="67"/>
        <v>577</v>
      </c>
      <c r="C1866" t="s">
        <v>40</v>
      </c>
    </row>
    <row r="1867" spans="1:3" x14ac:dyDescent="0.25">
      <c r="A1867" s="71">
        <f t="shared" si="66"/>
        <v>100576</v>
      </c>
      <c r="B1867">
        <f t="shared" ca="1" si="67"/>
        <v>577</v>
      </c>
      <c r="C1867" t="s">
        <v>40</v>
      </c>
    </row>
    <row r="1868" spans="1:3" x14ac:dyDescent="0.25">
      <c r="A1868" s="71">
        <f t="shared" ref="A1868:A1931" si="68">A1867+30</f>
        <v>100606</v>
      </c>
      <c r="B1868">
        <f t="shared" ref="B1868:B1931" ca="1" si="69">B1867</f>
        <v>577</v>
      </c>
      <c r="C1868" t="s">
        <v>40</v>
      </c>
    </row>
    <row r="1869" spans="1:3" x14ac:dyDescent="0.25">
      <c r="A1869" s="71">
        <f t="shared" si="68"/>
        <v>100636</v>
      </c>
      <c r="B1869">
        <f t="shared" ca="1" si="69"/>
        <v>577</v>
      </c>
      <c r="C1869" t="s">
        <v>40</v>
      </c>
    </row>
    <row r="1870" spans="1:3" x14ac:dyDescent="0.25">
      <c r="A1870" s="71">
        <f t="shared" si="68"/>
        <v>100666</v>
      </c>
      <c r="B1870">
        <f t="shared" ca="1" si="69"/>
        <v>577</v>
      </c>
      <c r="C1870" t="s">
        <v>40</v>
      </c>
    </row>
    <row r="1871" spans="1:3" x14ac:dyDescent="0.25">
      <c r="A1871" s="71">
        <f t="shared" si="68"/>
        <v>100696</v>
      </c>
      <c r="B1871">
        <f t="shared" ca="1" si="69"/>
        <v>577</v>
      </c>
      <c r="C1871" t="s">
        <v>40</v>
      </c>
    </row>
    <row r="1872" spans="1:3" x14ac:dyDescent="0.25">
      <c r="A1872" s="71">
        <f t="shared" si="68"/>
        <v>100726</v>
      </c>
      <c r="B1872">
        <f t="shared" ca="1" si="69"/>
        <v>577</v>
      </c>
      <c r="C1872" t="s">
        <v>40</v>
      </c>
    </row>
    <row r="1873" spans="1:3" x14ac:dyDescent="0.25">
      <c r="A1873" s="71">
        <f t="shared" si="68"/>
        <v>100756</v>
      </c>
      <c r="B1873">
        <f t="shared" ca="1" si="69"/>
        <v>577</v>
      </c>
      <c r="C1873" t="s">
        <v>40</v>
      </c>
    </row>
    <row r="1874" spans="1:3" x14ac:dyDescent="0.25">
      <c r="A1874" s="71">
        <f t="shared" si="68"/>
        <v>100786</v>
      </c>
      <c r="B1874">
        <f t="shared" ca="1" si="69"/>
        <v>577</v>
      </c>
      <c r="C1874" t="s">
        <v>40</v>
      </c>
    </row>
    <row r="1875" spans="1:3" x14ac:dyDescent="0.25">
      <c r="A1875" s="71">
        <f t="shared" si="68"/>
        <v>100816</v>
      </c>
      <c r="B1875">
        <f t="shared" ca="1" si="69"/>
        <v>577</v>
      </c>
      <c r="C1875" t="s">
        <v>40</v>
      </c>
    </row>
    <row r="1876" spans="1:3" x14ac:dyDescent="0.25">
      <c r="A1876" s="71">
        <f t="shared" si="68"/>
        <v>100846</v>
      </c>
      <c r="B1876">
        <f t="shared" ca="1" si="69"/>
        <v>577</v>
      </c>
      <c r="C1876" t="s">
        <v>40</v>
      </c>
    </row>
    <row r="1877" spans="1:3" x14ac:dyDescent="0.25">
      <c r="A1877" s="71">
        <f t="shared" si="68"/>
        <v>100876</v>
      </c>
      <c r="B1877">
        <f t="shared" ca="1" si="69"/>
        <v>577</v>
      </c>
      <c r="C1877" t="s">
        <v>40</v>
      </c>
    </row>
    <row r="1878" spans="1:3" x14ac:dyDescent="0.25">
      <c r="A1878" s="71">
        <f t="shared" si="68"/>
        <v>100906</v>
      </c>
      <c r="B1878">
        <f t="shared" ca="1" si="69"/>
        <v>577</v>
      </c>
      <c r="C1878" t="s">
        <v>40</v>
      </c>
    </row>
    <row r="1879" spans="1:3" x14ac:dyDescent="0.25">
      <c r="A1879" s="71">
        <f t="shared" si="68"/>
        <v>100936</v>
      </c>
      <c r="B1879">
        <f t="shared" ca="1" si="69"/>
        <v>577</v>
      </c>
      <c r="C1879" t="s">
        <v>40</v>
      </c>
    </row>
    <row r="1880" spans="1:3" x14ac:dyDescent="0.25">
      <c r="A1880" s="71">
        <f t="shared" si="68"/>
        <v>100966</v>
      </c>
      <c r="B1880">
        <f t="shared" ca="1" si="69"/>
        <v>577</v>
      </c>
      <c r="C1880" t="s">
        <v>40</v>
      </c>
    </row>
    <row r="1881" spans="1:3" x14ac:dyDescent="0.25">
      <c r="A1881" s="71">
        <f t="shared" si="68"/>
        <v>100996</v>
      </c>
      <c r="B1881">
        <f t="shared" ca="1" si="69"/>
        <v>577</v>
      </c>
      <c r="C1881" t="s">
        <v>40</v>
      </c>
    </row>
    <row r="1882" spans="1:3" x14ac:dyDescent="0.25">
      <c r="A1882" s="71">
        <f t="shared" si="68"/>
        <v>101026</v>
      </c>
      <c r="B1882">
        <f t="shared" ca="1" si="69"/>
        <v>577</v>
      </c>
      <c r="C1882" t="s">
        <v>40</v>
      </c>
    </row>
    <row r="1883" spans="1:3" x14ac:dyDescent="0.25">
      <c r="A1883" s="71">
        <f t="shared" si="68"/>
        <v>101056</v>
      </c>
      <c r="B1883">
        <f t="shared" ca="1" si="69"/>
        <v>577</v>
      </c>
      <c r="C1883" t="s">
        <v>40</v>
      </c>
    </row>
    <row r="1884" spans="1:3" x14ac:dyDescent="0.25">
      <c r="A1884" s="71">
        <f t="shared" si="68"/>
        <v>101086</v>
      </c>
      <c r="B1884">
        <f t="shared" ca="1" si="69"/>
        <v>577</v>
      </c>
      <c r="C1884" t="s">
        <v>40</v>
      </c>
    </row>
    <row r="1885" spans="1:3" x14ac:dyDescent="0.25">
      <c r="A1885" s="71">
        <f t="shared" si="68"/>
        <v>101116</v>
      </c>
      <c r="B1885">
        <f t="shared" ca="1" si="69"/>
        <v>577</v>
      </c>
      <c r="C1885" t="s">
        <v>40</v>
      </c>
    </row>
    <row r="1886" spans="1:3" x14ac:dyDescent="0.25">
      <c r="A1886" s="71">
        <f t="shared" si="68"/>
        <v>101146</v>
      </c>
      <c r="B1886">
        <f t="shared" ca="1" si="69"/>
        <v>577</v>
      </c>
      <c r="C1886" t="s">
        <v>40</v>
      </c>
    </row>
    <row r="1887" spans="1:3" x14ac:dyDescent="0.25">
      <c r="A1887" s="71">
        <f t="shared" si="68"/>
        <v>101176</v>
      </c>
      <c r="B1887">
        <f t="shared" ca="1" si="69"/>
        <v>577</v>
      </c>
      <c r="C1887" t="s">
        <v>40</v>
      </c>
    </row>
    <row r="1888" spans="1:3" x14ac:dyDescent="0.25">
      <c r="A1888" s="71">
        <f t="shared" si="68"/>
        <v>101206</v>
      </c>
      <c r="B1888">
        <f t="shared" ca="1" si="69"/>
        <v>577</v>
      </c>
      <c r="C1888" t="s">
        <v>40</v>
      </c>
    </row>
    <row r="1889" spans="1:3" x14ac:dyDescent="0.25">
      <c r="A1889" s="71">
        <f t="shared" si="68"/>
        <v>101236</v>
      </c>
      <c r="B1889">
        <f t="shared" ca="1" si="69"/>
        <v>577</v>
      </c>
      <c r="C1889" t="s">
        <v>40</v>
      </c>
    </row>
    <row r="1890" spans="1:3" x14ac:dyDescent="0.25">
      <c r="A1890" s="71">
        <f t="shared" si="68"/>
        <v>101266</v>
      </c>
      <c r="B1890">
        <f t="shared" ca="1" si="69"/>
        <v>577</v>
      </c>
      <c r="C1890" t="s">
        <v>40</v>
      </c>
    </row>
    <row r="1891" spans="1:3" x14ac:dyDescent="0.25">
      <c r="A1891" s="71">
        <f t="shared" si="68"/>
        <v>101296</v>
      </c>
      <c r="B1891">
        <f t="shared" ca="1" si="69"/>
        <v>577</v>
      </c>
      <c r="C1891" t="s">
        <v>40</v>
      </c>
    </row>
    <row r="1892" spans="1:3" x14ac:dyDescent="0.25">
      <c r="A1892" s="71">
        <f t="shared" si="68"/>
        <v>101326</v>
      </c>
      <c r="B1892">
        <f t="shared" ca="1" si="69"/>
        <v>577</v>
      </c>
      <c r="C1892" t="s">
        <v>40</v>
      </c>
    </row>
    <row r="1893" spans="1:3" x14ac:dyDescent="0.25">
      <c r="A1893" s="71">
        <f t="shared" si="68"/>
        <v>101356</v>
      </c>
      <c r="B1893">
        <f t="shared" ca="1" si="69"/>
        <v>577</v>
      </c>
      <c r="C1893" t="s">
        <v>40</v>
      </c>
    </row>
    <row r="1894" spans="1:3" x14ac:dyDescent="0.25">
      <c r="A1894" s="71">
        <f t="shared" si="68"/>
        <v>101386</v>
      </c>
      <c r="B1894">
        <f t="shared" ca="1" si="69"/>
        <v>577</v>
      </c>
      <c r="C1894" t="s">
        <v>40</v>
      </c>
    </row>
    <row r="1895" spans="1:3" x14ac:dyDescent="0.25">
      <c r="A1895" s="71">
        <f t="shared" si="68"/>
        <v>101416</v>
      </c>
      <c r="B1895">
        <f t="shared" ca="1" si="69"/>
        <v>577</v>
      </c>
      <c r="C1895" t="s">
        <v>40</v>
      </c>
    </row>
    <row r="1896" spans="1:3" x14ac:dyDescent="0.25">
      <c r="A1896" s="71">
        <f t="shared" si="68"/>
        <v>101446</v>
      </c>
      <c r="B1896">
        <f t="shared" ca="1" si="69"/>
        <v>577</v>
      </c>
      <c r="C1896" t="s">
        <v>40</v>
      </c>
    </row>
    <row r="1897" spans="1:3" x14ac:dyDescent="0.25">
      <c r="A1897" s="71">
        <f t="shared" si="68"/>
        <v>101476</v>
      </c>
      <c r="B1897">
        <f t="shared" ca="1" si="69"/>
        <v>577</v>
      </c>
      <c r="C1897" t="s">
        <v>40</v>
      </c>
    </row>
    <row r="1898" spans="1:3" x14ac:dyDescent="0.25">
      <c r="A1898" s="71">
        <f t="shared" si="68"/>
        <v>101506</v>
      </c>
      <c r="B1898">
        <f t="shared" ca="1" si="69"/>
        <v>577</v>
      </c>
      <c r="C1898" t="s">
        <v>40</v>
      </c>
    </row>
    <row r="1899" spans="1:3" x14ac:dyDescent="0.25">
      <c r="A1899" s="71">
        <f t="shared" si="68"/>
        <v>101536</v>
      </c>
      <c r="B1899">
        <f t="shared" ca="1" si="69"/>
        <v>577</v>
      </c>
      <c r="C1899" t="s">
        <v>40</v>
      </c>
    </row>
    <row r="1900" spans="1:3" x14ac:dyDescent="0.25">
      <c r="A1900" s="71">
        <f t="shared" si="68"/>
        <v>101566</v>
      </c>
      <c r="B1900">
        <f t="shared" ca="1" si="69"/>
        <v>577</v>
      </c>
      <c r="C1900" t="s">
        <v>40</v>
      </c>
    </row>
    <row r="1901" spans="1:3" x14ac:dyDescent="0.25">
      <c r="A1901" s="71">
        <f t="shared" si="68"/>
        <v>101596</v>
      </c>
      <c r="B1901">
        <f t="shared" ca="1" si="69"/>
        <v>577</v>
      </c>
      <c r="C1901" t="s">
        <v>40</v>
      </c>
    </row>
    <row r="1902" spans="1:3" x14ac:dyDescent="0.25">
      <c r="A1902" s="71">
        <f t="shared" si="68"/>
        <v>101626</v>
      </c>
      <c r="B1902">
        <f t="shared" ca="1" si="69"/>
        <v>577</v>
      </c>
      <c r="C1902" t="s">
        <v>40</v>
      </c>
    </row>
    <row r="1903" spans="1:3" x14ac:dyDescent="0.25">
      <c r="A1903" s="71">
        <f t="shared" si="68"/>
        <v>101656</v>
      </c>
      <c r="B1903">
        <f t="shared" ca="1" si="69"/>
        <v>577</v>
      </c>
      <c r="C1903" t="s">
        <v>40</v>
      </c>
    </row>
    <row r="1904" spans="1:3" x14ac:dyDescent="0.25">
      <c r="A1904" s="71">
        <f t="shared" si="68"/>
        <v>101686</v>
      </c>
      <c r="B1904">
        <f t="shared" ca="1" si="69"/>
        <v>577</v>
      </c>
      <c r="C1904" t="s">
        <v>40</v>
      </c>
    </row>
    <row r="1905" spans="1:3" x14ac:dyDescent="0.25">
      <c r="A1905" s="71">
        <f t="shared" si="68"/>
        <v>101716</v>
      </c>
      <c r="B1905">
        <f t="shared" ca="1" si="69"/>
        <v>577</v>
      </c>
      <c r="C1905" t="s">
        <v>40</v>
      </c>
    </row>
    <row r="1906" spans="1:3" x14ac:dyDescent="0.25">
      <c r="A1906" s="71">
        <f t="shared" si="68"/>
        <v>101746</v>
      </c>
      <c r="B1906">
        <f t="shared" ca="1" si="69"/>
        <v>577</v>
      </c>
      <c r="C1906" t="s">
        <v>40</v>
      </c>
    </row>
    <row r="1907" spans="1:3" x14ac:dyDescent="0.25">
      <c r="A1907" s="71">
        <f t="shared" si="68"/>
        <v>101776</v>
      </c>
      <c r="B1907">
        <f t="shared" ca="1" si="69"/>
        <v>577</v>
      </c>
      <c r="C1907" t="s">
        <v>40</v>
      </c>
    </row>
    <row r="1908" spans="1:3" x14ac:dyDescent="0.25">
      <c r="A1908" s="71">
        <f t="shared" si="68"/>
        <v>101806</v>
      </c>
      <c r="B1908">
        <f t="shared" ca="1" si="69"/>
        <v>577</v>
      </c>
      <c r="C1908" t="s">
        <v>40</v>
      </c>
    </row>
    <row r="1909" spans="1:3" x14ac:dyDescent="0.25">
      <c r="A1909" s="71">
        <f t="shared" si="68"/>
        <v>101836</v>
      </c>
      <c r="B1909">
        <f t="shared" ca="1" si="69"/>
        <v>577</v>
      </c>
      <c r="C1909" t="s">
        <v>40</v>
      </c>
    </row>
    <row r="1910" spans="1:3" x14ac:dyDescent="0.25">
      <c r="A1910" s="71">
        <f t="shared" si="68"/>
        <v>101866</v>
      </c>
      <c r="B1910">
        <f t="shared" ca="1" si="69"/>
        <v>577</v>
      </c>
      <c r="C1910" t="s">
        <v>40</v>
      </c>
    </row>
    <row r="1911" spans="1:3" x14ac:dyDescent="0.25">
      <c r="A1911" s="71">
        <f t="shared" si="68"/>
        <v>101896</v>
      </c>
      <c r="B1911">
        <f t="shared" ca="1" si="69"/>
        <v>577</v>
      </c>
      <c r="C1911" t="s">
        <v>40</v>
      </c>
    </row>
    <row r="1912" spans="1:3" x14ac:dyDescent="0.25">
      <c r="A1912" s="71">
        <f t="shared" si="68"/>
        <v>101926</v>
      </c>
      <c r="B1912">
        <f t="shared" ca="1" si="69"/>
        <v>577</v>
      </c>
      <c r="C1912" t="s">
        <v>40</v>
      </c>
    </row>
    <row r="1913" spans="1:3" x14ac:dyDescent="0.25">
      <c r="A1913" s="71">
        <f t="shared" si="68"/>
        <v>101956</v>
      </c>
      <c r="B1913">
        <f t="shared" ca="1" si="69"/>
        <v>577</v>
      </c>
      <c r="C1913" t="s">
        <v>40</v>
      </c>
    </row>
    <row r="1914" spans="1:3" x14ac:dyDescent="0.25">
      <c r="A1914" s="71">
        <f t="shared" si="68"/>
        <v>101986</v>
      </c>
      <c r="B1914">
        <f t="shared" ca="1" si="69"/>
        <v>577</v>
      </c>
      <c r="C1914" t="s">
        <v>40</v>
      </c>
    </row>
    <row r="1915" spans="1:3" x14ac:dyDescent="0.25">
      <c r="A1915" s="71">
        <f t="shared" si="68"/>
        <v>102016</v>
      </c>
      <c r="B1915">
        <f t="shared" ca="1" si="69"/>
        <v>577</v>
      </c>
      <c r="C1915" t="s">
        <v>40</v>
      </c>
    </row>
    <row r="1916" spans="1:3" x14ac:dyDescent="0.25">
      <c r="A1916" s="71">
        <f t="shared" si="68"/>
        <v>102046</v>
      </c>
      <c r="B1916">
        <f t="shared" ca="1" si="69"/>
        <v>577</v>
      </c>
      <c r="C1916" t="s">
        <v>40</v>
      </c>
    </row>
    <row r="1917" spans="1:3" x14ac:dyDescent="0.25">
      <c r="A1917" s="71">
        <f t="shared" si="68"/>
        <v>102076</v>
      </c>
      <c r="B1917">
        <f t="shared" ca="1" si="69"/>
        <v>577</v>
      </c>
      <c r="C1917" t="s">
        <v>40</v>
      </c>
    </row>
    <row r="1918" spans="1:3" x14ac:dyDescent="0.25">
      <c r="A1918" s="71">
        <f t="shared" si="68"/>
        <v>102106</v>
      </c>
      <c r="B1918">
        <f t="shared" ca="1" si="69"/>
        <v>577</v>
      </c>
      <c r="C1918" t="s">
        <v>40</v>
      </c>
    </row>
    <row r="1919" spans="1:3" x14ac:dyDescent="0.25">
      <c r="A1919" s="71">
        <f t="shared" si="68"/>
        <v>102136</v>
      </c>
      <c r="B1919">
        <f t="shared" ca="1" si="69"/>
        <v>577</v>
      </c>
      <c r="C1919" t="s">
        <v>40</v>
      </c>
    </row>
    <row r="1920" spans="1:3" x14ac:dyDescent="0.25">
      <c r="A1920" s="71">
        <f t="shared" si="68"/>
        <v>102166</v>
      </c>
      <c r="B1920">
        <f t="shared" ca="1" si="69"/>
        <v>577</v>
      </c>
      <c r="C1920" t="s">
        <v>40</v>
      </c>
    </row>
    <row r="1921" spans="1:3" x14ac:dyDescent="0.25">
      <c r="A1921" s="71">
        <f t="shared" si="68"/>
        <v>102196</v>
      </c>
      <c r="B1921">
        <f t="shared" ca="1" si="69"/>
        <v>577</v>
      </c>
      <c r="C1921" t="s">
        <v>40</v>
      </c>
    </row>
    <row r="1922" spans="1:3" x14ac:dyDescent="0.25">
      <c r="A1922" s="71">
        <f t="shared" si="68"/>
        <v>102226</v>
      </c>
      <c r="B1922">
        <f t="shared" ca="1" si="69"/>
        <v>577</v>
      </c>
      <c r="C1922" t="s">
        <v>40</v>
      </c>
    </row>
    <row r="1923" spans="1:3" x14ac:dyDescent="0.25">
      <c r="A1923" s="71">
        <f t="shared" si="68"/>
        <v>102256</v>
      </c>
      <c r="B1923">
        <f t="shared" ca="1" si="69"/>
        <v>577</v>
      </c>
      <c r="C1923" t="s">
        <v>40</v>
      </c>
    </row>
    <row r="1924" spans="1:3" x14ac:dyDescent="0.25">
      <c r="A1924" s="71">
        <f t="shared" si="68"/>
        <v>102286</v>
      </c>
      <c r="B1924">
        <f t="shared" ca="1" si="69"/>
        <v>577</v>
      </c>
      <c r="C1924" t="s">
        <v>40</v>
      </c>
    </row>
    <row r="1925" spans="1:3" x14ac:dyDescent="0.25">
      <c r="A1925" s="71">
        <f t="shared" si="68"/>
        <v>102316</v>
      </c>
      <c r="B1925">
        <f t="shared" ca="1" si="69"/>
        <v>577</v>
      </c>
      <c r="C1925" t="s">
        <v>40</v>
      </c>
    </row>
    <row r="1926" spans="1:3" x14ac:dyDescent="0.25">
      <c r="A1926" s="71">
        <f t="shared" si="68"/>
        <v>102346</v>
      </c>
      <c r="B1926">
        <f t="shared" ca="1" si="69"/>
        <v>577</v>
      </c>
      <c r="C1926" t="s">
        <v>40</v>
      </c>
    </row>
    <row r="1927" spans="1:3" x14ac:dyDescent="0.25">
      <c r="A1927" s="71">
        <f t="shared" si="68"/>
        <v>102376</v>
      </c>
      <c r="B1927">
        <f t="shared" ca="1" si="69"/>
        <v>577</v>
      </c>
      <c r="C1927" t="s">
        <v>40</v>
      </c>
    </row>
    <row r="1928" spans="1:3" x14ac:dyDescent="0.25">
      <c r="A1928" s="71">
        <f t="shared" si="68"/>
        <v>102406</v>
      </c>
      <c r="B1928">
        <f t="shared" ca="1" si="69"/>
        <v>577</v>
      </c>
      <c r="C1928" t="s">
        <v>40</v>
      </c>
    </row>
    <row r="1929" spans="1:3" x14ac:dyDescent="0.25">
      <c r="A1929" s="71">
        <f t="shared" si="68"/>
        <v>102436</v>
      </c>
      <c r="B1929">
        <f t="shared" ca="1" si="69"/>
        <v>577</v>
      </c>
      <c r="C1929" t="s">
        <v>40</v>
      </c>
    </row>
    <row r="1930" spans="1:3" x14ac:dyDescent="0.25">
      <c r="A1930" s="71">
        <f t="shared" si="68"/>
        <v>102466</v>
      </c>
      <c r="B1930">
        <f t="shared" ca="1" si="69"/>
        <v>577</v>
      </c>
      <c r="C1930" t="s">
        <v>40</v>
      </c>
    </row>
    <row r="1931" spans="1:3" x14ac:dyDescent="0.25">
      <c r="A1931" s="71">
        <f t="shared" si="68"/>
        <v>102496</v>
      </c>
      <c r="B1931">
        <f t="shared" ca="1" si="69"/>
        <v>577</v>
      </c>
      <c r="C1931" t="s">
        <v>40</v>
      </c>
    </row>
    <row r="1932" spans="1:3" x14ac:dyDescent="0.25">
      <c r="A1932" s="71">
        <f t="shared" ref="A1932:A1995" si="70">A1931+30</f>
        <v>102526</v>
      </c>
      <c r="B1932">
        <f t="shared" ref="B1932:B1995" ca="1" si="71">B1931</f>
        <v>577</v>
      </c>
      <c r="C1932" t="s">
        <v>40</v>
      </c>
    </row>
    <row r="1933" spans="1:3" x14ac:dyDescent="0.25">
      <c r="A1933" s="71">
        <f t="shared" si="70"/>
        <v>102556</v>
      </c>
      <c r="B1933">
        <f t="shared" ca="1" si="71"/>
        <v>577</v>
      </c>
      <c r="C1933" t="s">
        <v>40</v>
      </c>
    </row>
    <row r="1934" spans="1:3" x14ac:dyDescent="0.25">
      <c r="A1934" s="71">
        <f t="shared" si="70"/>
        <v>102586</v>
      </c>
      <c r="B1934">
        <f t="shared" ca="1" si="71"/>
        <v>577</v>
      </c>
      <c r="C1934" t="s">
        <v>40</v>
      </c>
    </row>
    <row r="1935" spans="1:3" x14ac:dyDescent="0.25">
      <c r="A1935" s="71">
        <f t="shared" si="70"/>
        <v>102616</v>
      </c>
      <c r="B1935">
        <f t="shared" ca="1" si="71"/>
        <v>577</v>
      </c>
      <c r="C1935" t="s">
        <v>40</v>
      </c>
    </row>
    <row r="1936" spans="1:3" x14ac:dyDescent="0.25">
      <c r="A1936" s="71">
        <f t="shared" si="70"/>
        <v>102646</v>
      </c>
      <c r="B1936">
        <f t="shared" ca="1" si="71"/>
        <v>577</v>
      </c>
      <c r="C1936" t="s">
        <v>40</v>
      </c>
    </row>
    <row r="1937" spans="1:3" x14ac:dyDescent="0.25">
      <c r="A1937" s="71">
        <f t="shared" si="70"/>
        <v>102676</v>
      </c>
      <c r="B1937">
        <f t="shared" ca="1" si="71"/>
        <v>577</v>
      </c>
      <c r="C1937" t="s">
        <v>40</v>
      </c>
    </row>
    <row r="1938" spans="1:3" x14ac:dyDescent="0.25">
      <c r="A1938" s="71">
        <f t="shared" si="70"/>
        <v>102706</v>
      </c>
      <c r="B1938">
        <f t="shared" ca="1" si="71"/>
        <v>577</v>
      </c>
      <c r="C1938" t="s">
        <v>40</v>
      </c>
    </row>
    <row r="1939" spans="1:3" x14ac:dyDescent="0.25">
      <c r="A1939" s="71">
        <f t="shared" si="70"/>
        <v>102736</v>
      </c>
      <c r="B1939">
        <f t="shared" ca="1" si="71"/>
        <v>577</v>
      </c>
      <c r="C1939" t="s">
        <v>40</v>
      </c>
    </row>
    <row r="1940" spans="1:3" x14ac:dyDescent="0.25">
      <c r="A1940" s="71">
        <f t="shared" si="70"/>
        <v>102766</v>
      </c>
      <c r="B1940">
        <f t="shared" ca="1" si="71"/>
        <v>577</v>
      </c>
      <c r="C1940" t="s">
        <v>40</v>
      </c>
    </row>
    <row r="1941" spans="1:3" x14ac:dyDescent="0.25">
      <c r="A1941" s="71">
        <f t="shared" si="70"/>
        <v>102796</v>
      </c>
      <c r="B1941">
        <f t="shared" ca="1" si="71"/>
        <v>577</v>
      </c>
      <c r="C1941" t="s">
        <v>40</v>
      </c>
    </row>
    <row r="1942" spans="1:3" x14ac:dyDescent="0.25">
      <c r="A1942" s="71">
        <f t="shared" si="70"/>
        <v>102826</v>
      </c>
      <c r="B1942">
        <f t="shared" ca="1" si="71"/>
        <v>577</v>
      </c>
      <c r="C1942" t="s">
        <v>40</v>
      </c>
    </row>
    <row r="1943" spans="1:3" x14ac:dyDescent="0.25">
      <c r="A1943" s="71">
        <f t="shared" si="70"/>
        <v>102856</v>
      </c>
      <c r="B1943">
        <f t="shared" ca="1" si="71"/>
        <v>577</v>
      </c>
      <c r="C1943" t="s">
        <v>40</v>
      </c>
    </row>
    <row r="1944" spans="1:3" x14ac:dyDescent="0.25">
      <c r="A1944" s="71">
        <f t="shared" si="70"/>
        <v>102886</v>
      </c>
      <c r="B1944">
        <f t="shared" ca="1" si="71"/>
        <v>577</v>
      </c>
      <c r="C1944" t="s">
        <v>40</v>
      </c>
    </row>
    <row r="1945" spans="1:3" x14ac:dyDescent="0.25">
      <c r="A1945" s="71">
        <f t="shared" si="70"/>
        <v>102916</v>
      </c>
      <c r="B1945">
        <f t="shared" ca="1" si="71"/>
        <v>577</v>
      </c>
      <c r="C1945" t="s">
        <v>40</v>
      </c>
    </row>
    <row r="1946" spans="1:3" x14ac:dyDescent="0.25">
      <c r="A1946" s="71">
        <f t="shared" si="70"/>
        <v>102946</v>
      </c>
      <c r="B1946">
        <f t="shared" ca="1" si="71"/>
        <v>577</v>
      </c>
      <c r="C1946" t="s">
        <v>40</v>
      </c>
    </row>
    <row r="1947" spans="1:3" x14ac:dyDescent="0.25">
      <c r="A1947" s="71">
        <f t="shared" si="70"/>
        <v>102976</v>
      </c>
      <c r="B1947">
        <f t="shared" ca="1" si="71"/>
        <v>577</v>
      </c>
      <c r="C1947" t="s">
        <v>40</v>
      </c>
    </row>
    <row r="1948" spans="1:3" x14ac:dyDescent="0.25">
      <c r="A1948" s="71">
        <f t="shared" si="70"/>
        <v>103006</v>
      </c>
      <c r="B1948">
        <f t="shared" ca="1" si="71"/>
        <v>577</v>
      </c>
      <c r="C1948" t="s">
        <v>40</v>
      </c>
    </row>
    <row r="1949" spans="1:3" x14ac:dyDescent="0.25">
      <c r="A1949" s="71">
        <f t="shared" si="70"/>
        <v>103036</v>
      </c>
      <c r="B1949">
        <f t="shared" ca="1" si="71"/>
        <v>577</v>
      </c>
      <c r="C1949" t="s">
        <v>40</v>
      </c>
    </row>
    <row r="1950" spans="1:3" x14ac:dyDescent="0.25">
      <c r="A1950" s="71">
        <f t="shared" si="70"/>
        <v>103066</v>
      </c>
      <c r="B1950">
        <f t="shared" ca="1" si="71"/>
        <v>577</v>
      </c>
      <c r="C1950" t="s">
        <v>40</v>
      </c>
    </row>
    <row r="1951" spans="1:3" x14ac:dyDescent="0.25">
      <c r="A1951" s="71">
        <f t="shared" si="70"/>
        <v>103096</v>
      </c>
      <c r="B1951">
        <f t="shared" ca="1" si="71"/>
        <v>577</v>
      </c>
      <c r="C1951" t="s">
        <v>40</v>
      </c>
    </row>
    <row r="1952" spans="1:3" x14ac:dyDescent="0.25">
      <c r="A1952" s="71">
        <f t="shared" si="70"/>
        <v>103126</v>
      </c>
      <c r="B1952">
        <f t="shared" ca="1" si="71"/>
        <v>577</v>
      </c>
      <c r="C1952" t="s">
        <v>40</v>
      </c>
    </row>
    <row r="1953" spans="1:3" x14ac:dyDescent="0.25">
      <c r="A1953" s="71">
        <f t="shared" si="70"/>
        <v>103156</v>
      </c>
      <c r="B1953">
        <f t="shared" ca="1" si="71"/>
        <v>577</v>
      </c>
      <c r="C1953" t="s">
        <v>40</v>
      </c>
    </row>
    <row r="1954" spans="1:3" x14ac:dyDescent="0.25">
      <c r="A1954" s="71">
        <f t="shared" si="70"/>
        <v>103186</v>
      </c>
      <c r="B1954">
        <f t="shared" ca="1" si="71"/>
        <v>577</v>
      </c>
      <c r="C1954" t="s">
        <v>40</v>
      </c>
    </row>
    <row r="1955" spans="1:3" x14ac:dyDescent="0.25">
      <c r="A1955" s="71">
        <f t="shared" si="70"/>
        <v>103216</v>
      </c>
      <c r="B1955">
        <f t="shared" ca="1" si="71"/>
        <v>577</v>
      </c>
      <c r="C1955" t="s">
        <v>40</v>
      </c>
    </row>
    <row r="1956" spans="1:3" x14ac:dyDescent="0.25">
      <c r="A1956" s="71">
        <f t="shared" si="70"/>
        <v>103246</v>
      </c>
      <c r="B1956">
        <f t="shared" ca="1" si="71"/>
        <v>577</v>
      </c>
      <c r="C1956" t="s">
        <v>40</v>
      </c>
    </row>
    <row r="1957" spans="1:3" x14ac:dyDescent="0.25">
      <c r="A1957" s="71">
        <f t="shared" si="70"/>
        <v>103276</v>
      </c>
      <c r="B1957">
        <f t="shared" ca="1" si="71"/>
        <v>577</v>
      </c>
      <c r="C1957" t="s">
        <v>40</v>
      </c>
    </row>
    <row r="1958" spans="1:3" x14ac:dyDescent="0.25">
      <c r="A1958" s="71">
        <f t="shared" si="70"/>
        <v>103306</v>
      </c>
      <c r="B1958">
        <f t="shared" ca="1" si="71"/>
        <v>577</v>
      </c>
      <c r="C1958" t="s">
        <v>40</v>
      </c>
    </row>
    <row r="1959" spans="1:3" x14ac:dyDescent="0.25">
      <c r="A1959" s="71">
        <f t="shared" si="70"/>
        <v>103336</v>
      </c>
      <c r="B1959">
        <f t="shared" ca="1" si="71"/>
        <v>577</v>
      </c>
      <c r="C1959" t="s">
        <v>40</v>
      </c>
    </row>
    <row r="1960" spans="1:3" x14ac:dyDescent="0.25">
      <c r="A1960" s="71">
        <f t="shared" si="70"/>
        <v>103366</v>
      </c>
      <c r="B1960">
        <f t="shared" ca="1" si="71"/>
        <v>577</v>
      </c>
      <c r="C1960" t="s">
        <v>40</v>
      </c>
    </row>
    <row r="1961" spans="1:3" x14ac:dyDescent="0.25">
      <c r="A1961" s="71">
        <f t="shared" si="70"/>
        <v>103396</v>
      </c>
      <c r="B1961">
        <f t="shared" ca="1" si="71"/>
        <v>577</v>
      </c>
      <c r="C1961" t="s">
        <v>40</v>
      </c>
    </row>
    <row r="1962" spans="1:3" x14ac:dyDescent="0.25">
      <c r="A1962" s="71">
        <f t="shared" si="70"/>
        <v>103426</v>
      </c>
      <c r="B1962">
        <f t="shared" ca="1" si="71"/>
        <v>577</v>
      </c>
      <c r="C1962" t="s">
        <v>40</v>
      </c>
    </row>
    <row r="1963" spans="1:3" x14ac:dyDescent="0.25">
      <c r="A1963" s="71">
        <f t="shared" si="70"/>
        <v>103456</v>
      </c>
      <c r="B1963">
        <f t="shared" ca="1" si="71"/>
        <v>577</v>
      </c>
      <c r="C1963" t="s">
        <v>40</v>
      </c>
    </row>
    <row r="1964" spans="1:3" x14ac:dyDescent="0.25">
      <c r="A1964" s="71">
        <f t="shared" si="70"/>
        <v>103486</v>
      </c>
      <c r="B1964">
        <f t="shared" ca="1" si="71"/>
        <v>577</v>
      </c>
      <c r="C1964" t="s">
        <v>40</v>
      </c>
    </row>
    <row r="1965" spans="1:3" x14ac:dyDescent="0.25">
      <c r="A1965" s="71">
        <f t="shared" si="70"/>
        <v>103516</v>
      </c>
      <c r="B1965">
        <f t="shared" ca="1" si="71"/>
        <v>577</v>
      </c>
      <c r="C1965" t="s">
        <v>40</v>
      </c>
    </row>
    <row r="1966" spans="1:3" x14ac:dyDescent="0.25">
      <c r="A1966" s="71">
        <f t="shared" si="70"/>
        <v>103546</v>
      </c>
      <c r="B1966">
        <f t="shared" ca="1" si="71"/>
        <v>577</v>
      </c>
      <c r="C1966" t="s">
        <v>40</v>
      </c>
    </row>
    <row r="1967" spans="1:3" x14ac:dyDescent="0.25">
      <c r="A1967" s="71">
        <f t="shared" si="70"/>
        <v>103576</v>
      </c>
      <c r="B1967">
        <f t="shared" ca="1" si="71"/>
        <v>577</v>
      </c>
      <c r="C1967" t="s">
        <v>40</v>
      </c>
    </row>
    <row r="1968" spans="1:3" x14ac:dyDescent="0.25">
      <c r="A1968" s="71">
        <f t="shared" si="70"/>
        <v>103606</v>
      </c>
      <c r="B1968">
        <f t="shared" ca="1" si="71"/>
        <v>577</v>
      </c>
      <c r="C1968" t="s">
        <v>40</v>
      </c>
    </row>
    <row r="1969" spans="1:3" x14ac:dyDescent="0.25">
      <c r="A1969" s="71">
        <f t="shared" si="70"/>
        <v>103636</v>
      </c>
      <c r="B1969">
        <f t="shared" ca="1" si="71"/>
        <v>577</v>
      </c>
      <c r="C1969" t="s">
        <v>40</v>
      </c>
    </row>
    <row r="1970" spans="1:3" x14ac:dyDescent="0.25">
      <c r="A1970" s="71">
        <f t="shared" si="70"/>
        <v>103666</v>
      </c>
      <c r="B1970">
        <f t="shared" ca="1" si="71"/>
        <v>577</v>
      </c>
      <c r="C1970" t="s">
        <v>40</v>
      </c>
    </row>
    <row r="1971" spans="1:3" x14ac:dyDescent="0.25">
      <c r="A1971" s="71">
        <f t="shared" si="70"/>
        <v>103696</v>
      </c>
      <c r="B1971">
        <f t="shared" ca="1" si="71"/>
        <v>577</v>
      </c>
      <c r="C1971" t="s">
        <v>40</v>
      </c>
    </row>
    <row r="1972" spans="1:3" x14ac:dyDescent="0.25">
      <c r="A1972" s="71">
        <f t="shared" si="70"/>
        <v>103726</v>
      </c>
      <c r="B1972">
        <f t="shared" ca="1" si="71"/>
        <v>577</v>
      </c>
      <c r="C1972" t="s">
        <v>40</v>
      </c>
    </row>
    <row r="1973" spans="1:3" x14ac:dyDescent="0.25">
      <c r="A1973" s="71">
        <f t="shared" si="70"/>
        <v>103756</v>
      </c>
      <c r="B1973">
        <f t="shared" ca="1" si="71"/>
        <v>577</v>
      </c>
      <c r="C1973" t="s">
        <v>40</v>
      </c>
    </row>
    <row r="1974" spans="1:3" x14ac:dyDescent="0.25">
      <c r="A1974" s="71">
        <f t="shared" si="70"/>
        <v>103786</v>
      </c>
      <c r="B1974">
        <f t="shared" ca="1" si="71"/>
        <v>577</v>
      </c>
      <c r="C1974" t="s">
        <v>40</v>
      </c>
    </row>
    <row r="1975" spans="1:3" x14ac:dyDescent="0.25">
      <c r="A1975" s="71">
        <f t="shared" si="70"/>
        <v>103816</v>
      </c>
      <c r="B1975">
        <f t="shared" ca="1" si="71"/>
        <v>577</v>
      </c>
      <c r="C1975" t="s">
        <v>40</v>
      </c>
    </row>
    <row r="1976" spans="1:3" x14ac:dyDescent="0.25">
      <c r="A1976" s="71">
        <f t="shared" si="70"/>
        <v>103846</v>
      </c>
      <c r="B1976">
        <f t="shared" ca="1" si="71"/>
        <v>577</v>
      </c>
      <c r="C1976" t="s">
        <v>40</v>
      </c>
    </row>
    <row r="1977" spans="1:3" x14ac:dyDescent="0.25">
      <c r="A1977" s="71">
        <f t="shared" si="70"/>
        <v>103876</v>
      </c>
      <c r="B1977">
        <f t="shared" ca="1" si="71"/>
        <v>577</v>
      </c>
      <c r="C1977" t="s">
        <v>40</v>
      </c>
    </row>
    <row r="1978" spans="1:3" x14ac:dyDescent="0.25">
      <c r="A1978" s="71">
        <f t="shared" si="70"/>
        <v>103906</v>
      </c>
      <c r="B1978">
        <f t="shared" ca="1" si="71"/>
        <v>577</v>
      </c>
      <c r="C1978" t="s">
        <v>40</v>
      </c>
    </row>
    <row r="1979" spans="1:3" x14ac:dyDescent="0.25">
      <c r="A1979" s="71">
        <f t="shared" si="70"/>
        <v>103936</v>
      </c>
      <c r="B1979">
        <f t="shared" ca="1" si="71"/>
        <v>577</v>
      </c>
      <c r="C1979" t="s">
        <v>40</v>
      </c>
    </row>
    <row r="1980" spans="1:3" x14ac:dyDescent="0.25">
      <c r="A1980" s="71">
        <f t="shared" si="70"/>
        <v>103966</v>
      </c>
      <c r="B1980">
        <f t="shared" ca="1" si="71"/>
        <v>577</v>
      </c>
      <c r="C1980" t="s">
        <v>40</v>
      </c>
    </row>
    <row r="1981" spans="1:3" x14ac:dyDescent="0.25">
      <c r="A1981" s="71">
        <f t="shared" si="70"/>
        <v>103996</v>
      </c>
      <c r="B1981">
        <f t="shared" ca="1" si="71"/>
        <v>577</v>
      </c>
      <c r="C1981" t="s">
        <v>40</v>
      </c>
    </row>
    <row r="1982" spans="1:3" x14ac:dyDescent="0.25">
      <c r="A1982" s="71">
        <f t="shared" si="70"/>
        <v>104026</v>
      </c>
      <c r="B1982">
        <f t="shared" ca="1" si="71"/>
        <v>577</v>
      </c>
      <c r="C1982" t="s">
        <v>40</v>
      </c>
    </row>
    <row r="1983" spans="1:3" x14ac:dyDescent="0.25">
      <c r="A1983" s="71">
        <f t="shared" si="70"/>
        <v>104056</v>
      </c>
      <c r="B1983">
        <f t="shared" ca="1" si="71"/>
        <v>577</v>
      </c>
      <c r="C1983" t="s">
        <v>40</v>
      </c>
    </row>
    <row r="1984" spans="1:3" x14ac:dyDescent="0.25">
      <c r="A1984" s="71">
        <f t="shared" si="70"/>
        <v>104086</v>
      </c>
      <c r="B1984">
        <f t="shared" ca="1" si="71"/>
        <v>577</v>
      </c>
      <c r="C1984" t="s">
        <v>40</v>
      </c>
    </row>
    <row r="1985" spans="1:3" x14ac:dyDescent="0.25">
      <c r="A1985" s="71">
        <f t="shared" si="70"/>
        <v>104116</v>
      </c>
      <c r="B1985">
        <f t="shared" ca="1" si="71"/>
        <v>577</v>
      </c>
      <c r="C1985" t="s">
        <v>40</v>
      </c>
    </row>
    <row r="1986" spans="1:3" x14ac:dyDescent="0.25">
      <c r="A1986" s="71">
        <f t="shared" si="70"/>
        <v>104146</v>
      </c>
      <c r="B1986">
        <f t="shared" ca="1" si="71"/>
        <v>577</v>
      </c>
      <c r="C1986" t="s">
        <v>40</v>
      </c>
    </row>
    <row r="1987" spans="1:3" x14ac:dyDescent="0.25">
      <c r="A1987" s="71">
        <f t="shared" si="70"/>
        <v>104176</v>
      </c>
      <c r="B1987">
        <f t="shared" ca="1" si="71"/>
        <v>577</v>
      </c>
      <c r="C1987" t="s">
        <v>40</v>
      </c>
    </row>
    <row r="1988" spans="1:3" x14ac:dyDescent="0.25">
      <c r="A1988" s="71">
        <f t="shared" si="70"/>
        <v>104206</v>
      </c>
      <c r="B1988">
        <f t="shared" ca="1" si="71"/>
        <v>577</v>
      </c>
      <c r="C1988" t="s">
        <v>40</v>
      </c>
    </row>
    <row r="1989" spans="1:3" x14ac:dyDescent="0.25">
      <c r="A1989" s="71">
        <f t="shared" si="70"/>
        <v>104236</v>
      </c>
      <c r="B1989">
        <f t="shared" ca="1" si="71"/>
        <v>577</v>
      </c>
      <c r="C1989" t="s">
        <v>40</v>
      </c>
    </row>
    <row r="1990" spans="1:3" x14ac:dyDescent="0.25">
      <c r="A1990" s="71">
        <f t="shared" si="70"/>
        <v>104266</v>
      </c>
      <c r="B1990">
        <f t="shared" ca="1" si="71"/>
        <v>577</v>
      </c>
      <c r="C1990" t="s">
        <v>40</v>
      </c>
    </row>
    <row r="1991" spans="1:3" x14ac:dyDescent="0.25">
      <c r="A1991" s="71">
        <f t="shared" si="70"/>
        <v>104296</v>
      </c>
      <c r="B1991">
        <f t="shared" ca="1" si="71"/>
        <v>577</v>
      </c>
      <c r="C1991" t="s">
        <v>40</v>
      </c>
    </row>
    <row r="1992" spans="1:3" x14ac:dyDescent="0.25">
      <c r="A1992" s="71">
        <f t="shared" si="70"/>
        <v>104326</v>
      </c>
      <c r="B1992">
        <f t="shared" ca="1" si="71"/>
        <v>577</v>
      </c>
      <c r="C1992" t="s">
        <v>40</v>
      </c>
    </row>
    <row r="1993" spans="1:3" x14ac:dyDescent="0.25">
      <c r="A1993" s="71">
        <f t="shared" si="70"/>
        <v>104356</v>
      </c>
      <c r="B1993">
        <f t="shared" ca="1" si="71"/>
        <v>577</v>
      </c>
      <c r="C1993" t="s">
        <v>40</v>
      </c>
    </row>
    <row r="1994" spans="1:3" x14ac:dyDescent="0.25">
      <c r="A1994" s="71">
        <f t="shared" si="70"/>
        <v>104386</v>
      </c>
      <c r="B1994">
        <f t="shared" ca="1" si="71"/>
        <v>577</v>
      </c>
      <c r="C1994" t="s">
        <v>40</v>
      </c>
    </row>
    <row r="1995" spans="1:3" x14ac:dyDescent="0.25">
      <c r="A1995" s="71">
        <f t="shared" si="70"/>
        <v>104416</v>
      </c>
      <c r="B1995">
        <f t="shared" ca="1" si="71"/>
        <v>577</v>
      </c>
      <c r="C1995" t="s">
        <v>40</v>
      </c>
    </row>
    <row r="1996" spans="1:3" x14ac:dyDescent="0.25">
      <c r="A1996" s="71">
        <f t="shared" ref="A1996:A2059" si="72">A1995+30</f>
        <v>104446</v>
      </c>
      <c r="B1996">
        <f t="shared" ref="B1996:B2059" ca="1" si="73">B1995</f>
        <v>577</v>
      </c>
      <c r="C1996" t="s">
        <v>40</v>
      </c>
    </row>
    <row r="1997" spans="1:3" x14ac:dyDescent="0.25">
      <c r="A1997" s="71">
        <f t="shared" si="72"/>
        <v>104476</v>
      </c>
      <c r="B1997">
        <f t="shared" ca="1" si="73"/>
        <v>577</v>
      </c>
      <c r="C1997" t="s">
        <v>40</v>
      </c>
    </row>
    <row r="1998" spans="1:3" x14ac:dyDescent="0.25">
      <c r="A1998" s="71">
        <f t="shared" si="72"/>
        <v>104506</v>
      </c>
      <c r="B1998">
        <f t="shared" ca="1" si="73"/>
        <v>577</v>
      </c>
      <c r="C1998" t="s">
        <v>40</v>
      </c>
    </row>
    <row r="1999" spans="1:3" x14ac:dyDescent="0.25">
      <c r="A1999" s="71">
        <f t="shared" si="72"/>
        <v>104536</v>
      </c>
      <c r="B1999">
        <f t="shared" ca="1" si="73"/>
        <v>577</v>
      </c>
      <c r="C1999" t="s">
        <v>40</v>
      </c>
    </row>
    <row r="2000" spans="1:3" x14ac:dyDescent="0.25">
      <c r="A2000" s="71">
        <f t="shared" si="72"/>
        <v>104566</v>
      </c>
      <c r="B2000">
        <f t="shared" ca="1" si="73"/>
        <v>577</v>
      </c>
      <c r="C2000" t="s">
        <v>40</v>
      </c>
    </row>
    <row r="2001" spans="1:3" x14ac:dyDescent="0.25">
      <c r="A2001" s="71">
        <f t="shared" si="72"/>
        <v>104596</v>
      </c>
      <c r="B2001">
        <f t="shared" ca="1" si="73"/>
        <v>577</v>
      </c>
      <c r="C2001" t="s">
        <v>40</v>
      </c>
    </row>
    <row r="2002" spans="1:3" x14ac:dyDescent="0.25">
      <c r="A2002" s="71">
        <f t="shared" si="72"/>
        <v>104626</v>
      </c>
      <c r="B2002">
        <f t="shared" ca="1" si="73"/>
        <v>577</v>
      </c>
      <c r="C2002" t="s">
        <v>40</v>
      </c>
    </row>
    <row r="2003" spans="1:3" x14ac:dyDescent="0.25">
      <c r="A2003" s="71">
        <f t="shared" si="72"/>
        <v>104656</v>
      </c>
      <c r="B2003">
        <f t="shared" ca="1" si="73"/>
        <v>577</v>
      </c>
      <c r="C2003" t="s">
        <v>40</v>
      </c>
    </row>
    <row r="2004" spans="1:3" x14ac:dyDescent="0.25">
      <c r="A2004" s="71">
        <f t="shared" si="72"/>
        <v>104686</v>
      </c>
      <c r="B2004">
        <f t="shared" ca="1" si="73"/>
        <v>577</v>
      </c>
      <c r="C2004" t="s">
        <v>40</v>
      </c>
    </row>
    <row r="2005" spans="1:3" x14ac:dyDescent="0.25">
      <c r="A2005" s="71">
        <f t="shared" si="72"/>
        <v>104716</v>
      </c>
      <c r="B2005">
        <f t="shared" ca="1" si="73"/>
        <v>577</v>
      </c>
      <c r="C2005" t="s">
        <v>40</v>
      </c>
    </row>
    <row r="2006" spans="1:3" x14ac:dyDescent="0.25">
      <c r="A2006" s="71">
        <f t="shared" si="72"/>
        <v>104746</v>
      </c>
      <c r="B2006">
        <f t="shared" ca="1" si="73"/>
        <v>577</v>
      </c>
      <c r="C2006" t="s">
        <v>40</v>
      </c>
    </row>
    <row r="2007" spans="1:3" x14ac:dyDescent="0.25">
      <c r="A2007" s="71">
        <f t="shared" si="72"/>
        <v>104776</v>
      </c>
      <c r="B2007">
        <f t="shared" ca="1" si="73"/>
        <v>577</v>
      </c>
      <c r="C2007" t="s">
        <v>40</v>
      </c>
    </row>
    <row r="2008" spans="1:3" x14ac:dyDescent="0.25">
      <c r="A2008" s="71">
        <f t="shared" si="72"/>
        <v>104806</v>
      </c>
      <c r="B2008">
        <f t="shared" ca="1" si="73"/>
        <v>577</v>
      </c>
      <c r="C2008" t="s">
        <v>40</v>
      </c>
    </row>
    <row r="2009" spans="1:3" x14ac:dyDescent="0.25">
      <c r="A2009" s="71">
        <f t="shared" si="72"/>
        <v>104836</v>
      </c>
      <c r="B2009">
        <f t="shared" ca="1" si="73"/>
        <v>577</v>
      </c>
      <c r="C2009" t="s">
        <v>40</v>
      </c>
    </row>
    <row r="2010" spans="1:3" x14ac:dyDescent="0.25">
      <c r="A2010" s="71">
        <f t="shared" si="72"/>
        <v>104866</v>
      </c>
      <c r="B2010">
        <f t="shared" ca="1" si="73"/>
        <v>577</v>
      </c>
      <c r="C2010" t="s">
        <v>40</v>
      </c>
    </row>
    <row r="2011" spans="1:3" x14ac:dyDescent="0.25">
      <c r="A2011" s="71">
        <f t="shared" si="72"/>
        <v>104896</v>
      </c>
      <c r="B2011">
        <f t="shared" ca="1" si="73"/>
        <v>577</v>
      </c>
      <c r="C2011" t="s">
        <v>40</v>
      </c>
    </row>
    <row r="2012" spans="1:3" x14ac:dyDescent="0.25">
      <c r="A2012" s="71">
        <f t="shared" si="72"/>
        <v>104926</v>
      </c>
      <c r="B2012">
        <f t="shared" ca="1" si="73"/>
        <v>577</v>
      </c>
      <c r="C2012" t="s">
        <v>40</v>
      </c>
    </row>
    <row r="2013" spans="1:3" x14ac:dyDescent="0.25">
      <c r="A2013" s="71">
        <f t="shared" si="72"/>
        <v>104956</v>
      </c>
      <c r="B2013">
        <f t="shared" ca="1" si="73"/>
        <v>577</v>
      </c>
      <c r="C2013" t="s">
        <v>40</v>
      </c>
    </row>
    <row r="2014" spans="1:3" x14ac:dyDescent="0.25">
      <c r="A2014" s="71">
        <f t="shared" si="72"/>
        <v>104986</v>
      </c>
      <c r="B2014">
        <f t="shared" ca="1" si="73"/>
        <v>577</v>
      </c>
      <c r="C2014" t="s">
        <v>40</v>
      </c>
    </row>
    <row r="2015" spans="1:3" x14ac:dyDescent="0.25">
      <c r="A2015" s="71">
        <f t="shared" si="72"/>
        <v>105016</v>
      </c>
      <c r="B2015">
        <f t="shared" ca="1" si="73"/>
        <v>577</v>
      </c>
      <c r="C2015" t="s">
        <v>40</v>
      </c>
    </row>
    <row r="2016" spans="1:3" x14ac:dyDescent="0.25">
      <c r="A2016" s="71">
        <f t="shared" si="72"/>
        <v>105046</v>
      </c>
      <c r="B2016">
        <f t="shared" ca="1" si="73"/>
        <v>577</v>
      </c>
      <c r="C2016" t="s">
        <v>40</v>
      </c>
    </row>
    <row r="2017" spans="1:3" x14ac:dyDescent="0.25">
      <c r="A2017" s="71">
        <f t="shared" si="72"/>
        <v>105076</v>
      </c>
      <c r="B2017">
        <f t="shared" ca="1" si="73"/>
        <v>577</v>
      </c>
      <c r="C2017" t="s">
        <v>40</v>
      </c>
    </row>
    <row r="2018" spans="1:3" x14ac:dyDescent="0.25">
      <c r="A2018" s="71">
        <f t="shared" si="72"/>
        <v>105106</v>
      </c>
      <c r="B2018">
        <f t="shared" ca="1" si="73"/>
        <v>577</v>
      </c>
      <c r="C2018" t="s">
        <v>40</v>
      </c>
    </row>
    <row r="2019" spans="1:3" x14ac:dyDescent="0.25">
      <c r="A2019" s="71">
        <f t="shared" si="72"/>
        <v>105136</v>
      </c>
      <c r="B2019">
        <f t="shared" ca="1" si="73"/>
        <v>577</v>
      </c>
      <c r="C2019" t="s">
        <v>40</v>
      </c>
    </row>
    <row r="2020" spans="1:3" x14ac:dyDescent="0.25">
      <c r="A2020" s="71">
        <f t="shared" si="72"/>
        <v>105166</v>
      </c>
      <c r="B2020">
        <f t="shared" ca="1" si="73"/>
        <v>577</v>
      </c>
      <c r="C2020" t="s">
        <v>40</v>
      </c>
    </row>
    <row r="2021" spans="1:3" x14ac:dyDescent="0.25">
      <c r="A2021" s="71">
        <f t="shared" si="72"/>
        <v>105196</v>
      </c>
      <c r="B2021">
        <f t="shared" ca="1" si="73"/>
        <v>577</v>
      </c>
      <c r="C2021" t="s">
        <v>40</v>
      </c>
    </row>
    <row r="2022" spans="1:3" x14ac:dyDescent="0.25">
      <c r="A2022" s="71">
        <f t="shared" si="72"/>
        <v>105226</v>
      </c>
      <c r="B2022">
        <f t="shared" ca="1" si="73"/>
        <v>577</v>
      </c>
      <c r="C2022" t="s">
        <v>40</v>
      </c>
    </row>
    <row r="2023" spans="1:3" x14ac:dyDescent="0.25">
      <c r="A2023" s="71">
        <f t="shared" si="72"/>
        <v>105256</v>
      </c>
      <c r="B2023">
        <f t="shared" ca="1" si="73"/>
        <v>577</v>
      </c>
      <c r="C2023" t="s">
        <v>40</v>
      </c>
    </row>
    <row r="2024" spans="1:3" x14ac:dyDescent="0.25">
      <c r="A2024" s="71">
        <f t="shared" si="72"/>
        <v>105286</v>
      </c>
      <c r="B2024">
        <f t="shared" ca="1" si="73"/>
        <v>577</v>
      </c>
      <c r="C2024" t="s">
        <v>40</v>
      </c>
    </row>
    <row r="2025" spans="1:3" x14ac:dyDescent="0.25">
      <c r="A2025" s="71">
        <f t="shared" si="72"/>
        <v>105316</v>
      </c>
      <c r="B2025">
        <f t="shared" ca="1" si="73"/>
        <v>577</v>
      </c>
      <c r="C2025" t="s">
        <v>40</v>
      </c>
    </row>
    <row r="2026" spans="1:3" x14ac:dyDescent="0.25">
      <c r="A2026" s="71">
        <f t="shared" si="72"/>
        <v>105346</v>
      </c>
      <c r="B2026">
        <f t="shared" ca="1" si="73"/>
        <v>577</v>
      </c>
      <c r="C2026" t="s">
        <v>40</v>
      </c>
    </row>
    <row r="2027" spans="1:3" x14ac:dyDescent="0.25">
      <c r="A2027" s="71">
        <f t="shared" si="72"/>
        <v>105376</v>
      </c>
      <c r="B2027">
        <f t="shared" ca="1" si="73"/>
        <v>577</v>
      </c>
      <c r="C2027" t="s">
        <v>40</v>
      </c>
    </row>
    <row r="2028" spans="1:3" x14ac:dyDescent="0.25">
      <c r="A2028" s="71">
        <f t="shared" si="72"/>
        <v>105406</v>
      </c>
      <c r="B2028">
        <f t="shared" ca="1" si="73"/>
        <v>577</v>
      </c>
      <c r="C2028" t="s">
        <v>40</v>
      </c>
    </row>
    <row r="2029" spans="1:3" x14ac:dyDescent="0.25">
      <c r="A2029" s="71">
        <f t="shared" si="72"/>
        <v>105436</v>
      </c>
      <c r="B2029">
        <f t="shared" ca="1" si="73"/>
        <v>577</v>
      </c>
      <c r="C2029" t="s">
        <v>40</v>
      </c>
    </row>
    <row r="2030" spans="1:3" x14ac:dyDescent="0.25">
      <c r="A2030" s="71">
        <f t="shared" si="72"/>
        <v>105466</v>
      </c>
      <c r="B2030">
        <f t="shared" ca="1" si="73"/>
        <v>577</v>
      </c>
      <c r="C2030" t="s">
        <v>40</v>
      </c>
    </row>
    <row r="2031" spans="1:3" x14ac:dyDescent="0.25">
      <c r="A2031" s="71">
        <f t="shared" si="72"/>
        <v>105496</v>
      </c>
      <c r="B2031">
        <f t="shared" ca="1" si="73"/>
        <v>577</v>
      </c>
      <c r="C2031" t="s">
        <v>40</v>
      </c>
    </row>
    <row r="2032" spans="1:3" x14ac:dyDescent="0.25">
      <c r="A2032" s="71">
        <f t="shared" si="72"/>
        <v>105526</v>
      </c>
      <c r="B2032">
        <f t="shared" ca="1" si="73"/>
        <v>577</v>
      </c>
      <c r="C2032" t="s">
        <v>40</v>
      </c>
    </row>
    <row r="2033" spans="1:3" x14ac:dyDescent="0.25">
      <c r="A2033" s="71">
        <f t="shared" si="72"/>
        <v>105556</v>
      </c>
      <c r="B2033">
        <f t="shared" ca="1" si="73"/>
        <v>577</v>
      </c>
      <c r="C2033" t="s">
        <v>40</v>
      </c>
    </row>
    <row r="2034" spans="1:3" x14ac:dyDescent="0.25">
      <c r="A2034" s="71">
        <f t="shared" si="72"/>
        <v>105586</v>
      </c>
      <c r="B2034">
        <f t="shared" ca="1" si="73"/>
        <v>577</v>
      </c>
      <c r="C2034" t="s">
        <v>40</v>
      </c>
    </row>
    <row r="2035" spans="1:3" x14ac:dyDescent="0.25">
      <c r="A2035" s="71">
        <f t="shared" si="72"/>
        <v>105616</v>
      </c>
      <c r="B2035">
        <f t="shared" ca="1" si="73"/>
        <v>577</v>
      </c>
      <c r="C2035" t="s">
        <v>40</v>
      </c>
    </row>
    <row r="2036" spans="1:3" x14ac:dyDescent="0.25">
      <c r="A2036" s="71">
        <f t="shared" si="72"/>
        <v>105646</v>
      </c>
      <c r="B2036">
        <f t="shared" ca="1" si="73"/>
        <v>577</v>
      </c>
      <c r="C2036" t="s">
        <v>40</v>
      </c>
    </row>
    <row r="2037" spans="1:3" x14ac:dyDescent="0.25">
      <c r="A2037" s="71">
        <f t="shared" si="72"/>
        <v>105676</v>
      </c>
      <c r="B2037">
        <f t="shared" ca="1" si="73"/>
        <v>577</v>
      </c>
      <c r="C2037" t="s">
        <v>40</v>
      </c>
    </row>
    <row r="2038" spans="1:3" x14ac:dyDescent="0.25">
      <c r="A2038" s="71">
        <f t="shared" si="72"/>
        <v>105706</v>
      </c>
      <c r="B2038">
        <f t="shared" ca="1" si="73"/>
        <v>577</v>
      </c>
      <c r="C2038" t="s">
        <v>40</v>
      </c>
    </row>
    <row r="2039" spans="1:3" x14ac:dyDescent="0.25">
      <c r="A2039" s="71">
        <f t="shared" si="72"/>
        <v>105736</v>
      </c>
      <c r="B2039">
        <f t="shared" ca="1" si="73"/>
        <v>577</v>
      </c>
      <c r="C2039" t="s">
        <v>40</v>
      </c>
    </row>
    <row r="2040" spans="1:3" x14ac:dyDescent="0.25">
      <c r="A2040" s="71">
        <f t="shared" si="72"/>
        <v>105766</v>
      </c>
      <c r="B2040">
        <f t="shared" ca="1" si="73"/>
        <v>577</v>
      </c>
      <c r="C2040" t="s">
        <v>40</v>
      </c>
    </row>
    <row r="2041" spans="1:3" x14ac:dyDescent="0.25">
      <c r="A2041" s="71">
        <f t="shared" si="72"/>
        <v>105796</v>
      </c>
      <c r="B2041">
        <f t="shared" ca="1" si="73"/>
        <v>577</v>
      </c>
      <c r="C2041" t="s">
        <v>40</v>
      </c>
    </row>
    <row r="2042" spans="1:3" x14ac:dyDescent="0.25">
      <c r="A2042" s="71">
        <f t="shared" si="72"/>
        <v>105826</v>
      </c>
      <c r="B2042">
        <f t="shared" ca="1" si="73"/>
        <v>577</v>
      </c>
      <c r="C2042" t="s">
        <v>40</v>
      </c>
    </row>
    <row r="2043" spans="1:3" x14ac:dyDescent="0.25">
      <c r="A2043" s="71">
        <f t="shared" si="72"/>
        <v>105856</v>
      </c>
      <c r="B2043">
        <f t="shared" ca="1" si="73"/>
        <v>577</v>
      </c>
      <c r="C2043" t="s">
        <v>40</v>
      </c>
    </row>
    <row r="2044" spans="1:3" x14ac:dyDescent="0.25">
      <c r="A2044" s="71">
        <f t="shared" si="72"/>
        <v>105886</v>
      </c>
      <c r="B2044">
        <f t="shared" ca="1" si="73"/>
        <v>577</v>
      </c>
      <c r="C2044" t="s">
        <v>40</v>
      </c>
    </row>
    <row r="2045" spans="1:3" x14ac:dyDescent="0.25">
      <c r="A2045" s="71">
        <f t="shared" si="72"/>
        <v>105916</v>
      </c>
      <c r="B2045">
        <f t="shared" ca="1" si="73"/>
        <v>577</v>
      </c>
      <c r="C2045" t="s">
        <v>40</v>
      </c>
    </row>
    <row r="2046" spans="1:3" x14ac:dyDescent="0.25">
      <c r="A2046" s="71">
        <f t="shared" si="72"/>
        <v>105946</v>
      </c>
      <c r="B2046">
        <f t="shared" ca="1" si="73"/>
        <v>577</v>
      </c>
      <c r="C2046" t="s">
        <v>40</v>
      </c>
    </row>
    <row r="2047" spans="1:3" x14ac:dyDescent="0.25">
      <c r="A2047" s="71">
        <f t="shared" si="72"/>
        <v>105976</v>
      </c>
      <c r="B2047">
        <f t="shared" ca="1" si="73"/>
        <v>577</v>
      </c>
      <c r="C2047" t="s">
        <v>40</v>
      </c>
    </row>
    <row r="2048" spans="1:3" x14ac:dyDescent="0.25">
      <c r="A2048" s="71">
        <f t="shared" si="72"/>
        <v>106006</v>
      </c>
      <c r="B2048">
        <f t="shared" ca="1" si="73"/>
        <v>577</v>
      </c>
      <c r="C2048" t="s">
        <v>40</v>
      </c>
    </row>
    <row r="2049" spans="1:3" x14ac:dyDescent="0.25">
      <c r="A2049" s="71">
        <f t="shared" si="72"/>
        <v>106036</v>
      </c>
      <c r="B2049">
        <f t="shared" ca="1" si="73"/>
        <v>577</v>
      </c>
      <c r="C2049" t="s">
        <v>40</v>
      </c>
    </row>
    <row r="2050" spans="1:3" x14ac:dyDescent="0.25">
      <c r="A2050" s="71">
        <f t="shared" si="72"/>
        <v>106066</v>
      </c>
      <c r="B2050">
        <f t="shared" ca="1" si="73"/>
        <v>577</v>
      </c>
      <c r="C2050" t="s">
        <v>40</v>
      </c>
    </row>
    <row r="2051" spans="1:3" x14ac:dyDescent="0.25">
      <c r="A2051" s="71">
        <f t="shared" si="72"/>
        <v>106096</v>
      </c>
      <c r="B2051">
        <f t="shared" ca="1" si="73"/>
        <v>577</v>
      </c>
      <c r="C2051" t="s">
        <v>40</v>
      </c>
    </row>
    <row r="2052" spans="1:3" x14ac:dyDescent="0.25">
      <c r="A2052" s="71">
        <f t="shared" si="72"/>
        <v>106126</v>
      </c>
      <c r="B2052">
        <f t="shared" ca="1" si="73"/>
        <v>577</v>
      </c>
      <c r="C2052" t="s">
        <v>40</v>
      </c>
    </row>
    <row r="2053" spans="1:3" x14ac:dyDescent="0.25">
      <c r="A2053" s="71">
        <f t="shared" si="72"/>
        <v>106156</v>
      </c>
      <c r="B2053">
        <f t="shared" ca="1" si="73"/>
        <v>577</v>
      </c>
      <c r="C2053" t="s">
        <v>40</v>
      </c>
    </row>
    <row r="2054" spans="1:3" x14ac:dyDescent="0.25">
      <c r="A2054" s="71">
        <f t="shared" si="72"/>
        <v>106186</v>
      </c>
      <c r="B2054">
        <f t="shared" ca="1" si="73"/>
        <v>577</v>
      </c>
      <c r="C2054" t="s">
        <v>40</v>
      </c>
    </row>
    <row r="2055" spans="1:3" x14ac:dyDescent="0.25">
      <c r="A2055" s="71">
        <f t="shared" si="72"/>
        <v>106216</v>
      </c>
      <c r="B2055">
        <f t="shared" ca="1" si="73"/>
        <v>577</v>
      </c>
      <c r="C2055" t="s">
        <v>40</v>
      </c>
    </row>
    <row r="2056" spans="1:3" x14ac:dyDescent="0.25">
      <c r="A2056" s="71">
        <f t="shared" si="72"/>
        <v>106246</v>
      </c>
      <c r="B2056">
        <f t="shared" ca="1" si="73"/>
        <v>577</v>
      </c>
      <c r="C2056" t="s">
        <v>40</v>
      </c>
    </row>
    <row r="2057" spans="1:3" x14ac:dyDescent="0.25">
      <c r="A2057" s="71">
        <f t="shared" si="72"/>
        <v>106276</v>
      </c>
      <c r="B2057">
        <f t="shared" ca="1" si="73"/>
        <v>577</v>
      </c>
      <c r="C2057" t="s">
        <v>40</v>
      </c>
    </row>
    <row r="2058" spans="1:3" x14ac:dyDescent="0.25">
      <c r="A2058" s="71">
        <f t="shared" si="72"/>
        <v>106306</v>
      </c>
      <c r="B2058">
        <f t="shared" ca="1" si="73"/>
        <v>577</v>
      </c>
      <c r="C2058" t="s">
        <v>40</v>
      </c>
    </row>
    <row r="2059" spans="1:3" x14ac:dyDescent="0.25">
      <c r="A2059" s="71">
        <f t="shared" si="72"/>
        <v>106336</v>
      </c>
      <c r="B2059">
        <f t="shared" ca="1" si="73"/>
        <v>577</v>
      </c>
      <c r="C2059" t="s">
        <v>40</v>
      </c>
    </row>
    <row r="2060" spans="1:3" x14ac:dyDescent="0.25">
      <c r="A2060" s="71">
        <f t="shared" ref="A2060:A2123" si="74">A2059+30</f>
        <v>106366</v>
      </c>
      <c r="B2060">
        <f t="shared" ref="B2060:B2123" ca="1" si="75">B2059</f>
        <v>577</v>
      </c>
      <c r="C2060" t="s">
        <v>40</v>
      </c>
    </row>
    <row r="2061" spans="1:3" x14ac:dyDescent="0.25">
      <c r="A2061" s="71">
        <f t="shared" si="74"/>
        <v>106396</v>
      </c>
      <c r="B2061">
        <f t="shared" ca="1" si="75"/>
        <v>577</v>
      </c>
      <c r="C2061" t="s">
        <v>40</v>
      </c>
    </row>
    <row r="2062" spans="1:3" x14ac:dyDescent="0.25">
      <c r="A2062" s="71">
        <f t="shared" si="74"/>
        <v>106426</v>
      </c>
      <c r="B2062">
        <f t="shared" ca="1" si="75"/>
        <v>577</v>
      </c>
      <c r="C2062" t="s">
        <v>40</v>
      </c>
    </row>
    <row r="2063" spans="1:3" x14ac:dyDescent="0.25">
      <c r="A2063" s="71">
        <f t="shared" si="74"/>
        <v>106456</v>
      </c>
      <c r="B2063">
        <f t="shared" ca="1" si="75"/>
        <v>577</v>
      </c>
      <c r="C2063" t="s">
        <v>40</v>
      </c>
    </row>
    <row r="2064" spans="1:3" x14ac:dyDescent="0.25">
      <c r="A2064" s="71">
        <f t="shared" si="74"/>
        <v>106486</v>
      </c>
      <c r="B2064">
        <f t="shared" ca="1" si="75"/>
        <v>577</v>
      </c>
      <c r="C2064" t="s">
        <v>40</v>
      </c>
    </row>
    <row r="2065" spans="1:3" x14ac:dyDescent="0.25">
      <c r="A2065" s="71">
        <f t="shared" si="74"/>
        <v>106516</v>
      </c>
      <c r="B2065">
        <f t="shared" ca="1" si="75"/>
        <v>577</v>
      </c>
      <c r="C2065" t="s">
        <v>40</v>
      </c>
    </row>
    <row r="2066" spans="1:3" x14ac:dyDescent="0.25">
      <c r="A2066" s="71">
        <f t="shared" si="74"/>
        <v>106546</v>
      </c>
      <c r="B2066">
        <f t="shared" ca="1" si="75"/>
        <v>577</v>
      </c>
      <c r="C2066" t="s">
        <v>40</v>
      </c>
    </row>
    <row r="2067" spans="1:3" x14ac:dyDescent="0.25">
      <c r="A2067" s="71">
        <f t="shared" si="74"/>
        <v>106576</v>
      </c>
      <c r="B2067">
        <f t="shared" ca="1" si="75"/>
        <v>577</v>
      </c>
      <c r="C2067" t="s">
        <v>40</v>
      </c>
    </row>
    <row r="2068" spans="1:3" x14ac:dyDescent="0.25">
      <c r="A2068" s="71">
        <f t="shared" si="74"/>
        <v>106606</v>
      </c>
      <c r="B2068">
        <f t="shared" ca="1" si="75"/>
        <v>577</v>
      </c>
      <c r="C2068" t="s">
        <v>40</v>
      </c>
    </row>
    <row r="2069" spans="1:3" x14ac:dyDescent="0.25">
      <c r="A2069" s="71">
        <f t="shared" si="74"/>
        <v>106636</v>
      </c>
      <c r="B2069">
        <f t="shared" ca="1" si="75"/>
        <v>577</v>
      </c>
      <c r="C2069" t="s">
        <v>40</v>
      </c>
    </row>
    <row r="2070" spans="1:3" x14ac:dyDescent="0.25">
      <c r="A2070" s="71">
        <f t="shared" si="74"/>
        <v>106666</v>
      </c>
      <c r="B2070">
        <f t="shared" ca="1" si="75"/>
        <v>577</v>
      </c>
      <c r="C2070" t="s">
        <v>40</v>
      </c>
    </row>
    <row r="2071" spans="1:3" x14ac:dyDescent="0.25">
      <c r="A2071" s="71">
        <f t="shared" si="74"/>
        <v>106696</v>
      </c>
      <c r="B2071">
        <f t="shared" ca="1" si="75"/>
        <v>577</v>
      </c>
      <c r="C2071" t="s">
        <v>40</v>
      </c>
    </row>
    <row r="2072" spans="1:3" x14ac:dyDescent="0.25">
      <c r="A2072" s="71">
        <f t="shared" si="74"/>
        <v>106726</v>
      </c>
      <c r="B2072">
        <f t="shared" ca="1" si="75"/>
        <v>577</v>
      </c>
      <c r="C2072" t="s">
        <v>40</v>
      </c>
    </row>
    <row r="2073" spans="1:3" x14ac:dyDescent="0.25">
      <c r="A2073" s="71">
        <f t="shared" si="74"/>
        <v>106756</v>
      </c>
      <c r="B2073">
        <f t="shared" ca="1" si="75"/>
        <v>577</v>
      </c>
      <c r="C2073" t="s">
        <v>40</v>
      </c>
    </row>
    <row r="2074" spans="1:3" x14ac:dyDescent="0.25">
      <c r="A2074" s="71">
        <f t="shared" si="74"/>
        <v>106786</v>
      </c>
      <c r="B2074">
        <f t="shared" ca="1" si="75"/>
        <v>577</v>
      </c>
      <c r="C2074" t="s">
        <v>40</v>
      </c>
    </row>
    <row r="2075" spans="1:3" x14ac:dyDescent="0.25">
      <c r="A2075" s="71">
        <f t="shared" si="74"/>
        <v>106816</v>
      </c>
      <c r="B2075">
        <f t="shared" ca="1" si="75"/>
        <v>577</v>
      </c>
      <c r="C2075" t="s">
        <v>40</v>
      </c>
    </row>
    <row r="2076" spans="1:3" x14ac:dyDescent="0.25">
      <c r="A2076" s="71">
        <f t="shared" si="74"/>
        <v>106846</v>
      </c>
      <c r="B2076">
        <f t="shared" ca="1" si="75"/>
        <v>577</v>
      </c>
      <c r="C2076" t="s">
        <v>40</v>
      </c>
    </row>
    <row r="2077" spans="1:3" x14ac:dyDescent="0.25">
      <c r="A2077" s="71">
        <f t="shared" si="74"/>
        <v>106876</v>
      </c>
      <c r="B2077">
        <f t="shared" ca="1" si="75"/>
        <v>577</v>
      </c>
      <c r="C2077" t="s">
        <v>40</v>
      </c>
    </row>
    <row r="2078" spans="1:3" x14ac:dyDescent="0.25">
      <c r="A2078" s="71">
        <f t="shared" si="74"/>
        <v>106906</v>
      </c>
      <c r="B2078">
        <f t="shared" ca="1" si="75"/>
        <v>577</v>
      </c>
      <c r="C2078" t="s">
        <v>40</v>
      </c>
    </row>
    <row r="2079" spans="1:3" x14ac:dyDescent="0.25">
      <c r="A2079" s="71">
        <f t="shared" si="74"/>
        <v>106936</v>
      </c>
      <c r="B2079">
        <f t="shared" ca="1" si="75"/>
        <v>577</v>
      </c>
      <c r="C2079" t="s">
        <v>40</v>
      </c>
    </row>
    <row r="2080" spans="1:3" x14ac:dyDescent="0.25">
      <c r="A2080" s="71">
        <f t="shared" si="74"/>
        <v>106966</v>
      </c>
      <c r="B2080">
        <f t="shared" ca="1" si="75"/>
        <v>577</v>
      </c>
      <c r="C2080" t="s">
        <v>40</v>
      </c>
    </row>
    <row r="2081" spans="1:3" x14ac:dyDescent="0.25">
      <c r="A2081" s="71">
        <f t="shared" si="74"/>
        <v>106996</v>
      </c>
      <c r="B2081">
        <f t="shared" ca="1" si="75"/>
        <v>577</v>
      </c>
      <c r="C2081" t="s">
        <v>40</v>
      </c>
    </row>
    <row r="2082" spans="1:3" x14ac:dyDescent="0.25">
      <c r="A2082" s="71">
        <f t="shared" si="74"/>
        <v>107026</v>
      </c>
      <c r="B2082">
        <f t="shared" ca="1" si="75"/>
        <v>577</v>
      </c>
      <c r="C2082" t="s">
        <v>40</v>
      </c>
    </row>
    <row r="2083" spans="1:3" x14ac:dyDescent="0.25">
      <c r="A2083" s="71">
        <f t="shared" si="74"/>
        <v>107056</v>
      </c>
      <c r="B2083">
        <f t="shared" ca="1" si="75"/>
        <v>577</v>
      </c>
      <c r="C2083" t="s">
        <v>40</v>
      </c>
    </row>
    <row r="2084" spans="1:3" x14ac:dyDescent="0.25">
      <c r="A2084" s="71">
        <f t="shared" si="74"/>
        <v>107086</v>
      </c>
      <c r="B2084">
        <f t="shared" ca="1" si="75"/>
        <v>577</v>
      </c>
      <c r="C2084" t="s">
        <v>40</v>
      </c>
    </row>
    <row r="2085" spans="1:3" x14ac:dyDescent="0.25">
      <c r="A2085" s="71">
        <f t="shared" si="74"/>
        <v>107116</v>
      </c>
      <c r="B2085">
        <f t="shared" ca="1" si="75"/>
        <v>577</v>
      </c>
      <c r="C2085" t="s">
        <v>40</v>
      </c>
    </row>
    <row r="2086" spans="1:3" x14ac:dyDescent="0.25">
      <c r="A2086" s="71">
        <f t="shared" si="74"/>
        <v>107146</v>
      </c>
      <c r="B2086">
        <f t="shared" ca="1" si="75"/>
        <v>577</v>
      </c>
      <c r="C2086" t="s">
        <v>40</v>
      </c>
    </row>
    <row r="2087" spans="1:3" x14ac:dyDescent="0.25">
      <c r="A2087" s="71">
        <f t="shared" si="74"/>
        <v>107176</v>
      </c>
      <c r="B2087">
        <f t="shared" ca="1" si="75"/>
        <v>577</v>
      </c>
      <c r="C2087" t="s">
        <v>40</v>
      </c>
    </row>
    <row r="2088" spans="1:3" x14ac:dyDescent="0.25">
      <c r="A2088" s="71">
        <f t="shared" si="74"/>
        <v>107206</v>
      </c>
      <c r="B2088">
        <f t="shared" ca="1" si="75"/>
        <v>577</v>
      </c>
      <c r="C2088" t="s">
        <v>40</v>
      </c>
    </row>
    <row r="2089" spans="1:3" x14ac:dyDescent="0.25">
      <c r="A2089" s="71">
        <f t="shared" si="74"/>
        <v>107236</v>
      </c>
      <c r="B2089">
        <f t="shared" ca="1" si="75"/>
        <v>577</v>
      </c>
      <c r="C2089" t="s">
        <v>40</v>
      </c>
    </row>
    <row r="2090" spans="1:3" x14ac:dyDescent="0.25">
      <c r="A2090" s="71">
        <f t="shared" si="74"/>
        <v>107266</v>
      </c>
      <c r="B2090">
        <f t="shared" ca="1" si="75"/>
        <v>577</v>
      </c>
      <c r="C2090" t="s">
        <v>40</v>
      </c>
    </row>
    <row r="2091" spans="1:3" x14ac:dyDescent="0.25">
      <c r="A2091" s="71">
        <f t="shared" si="74"/>
        <v>107296</v>
      </c>
      <c r="B2091">
        <f t="shared" ca="1" si="75"/>
        <v>577</v>
      </c>
      <c r="C2091" t="s">
        <v>40</v>
      </c>
    </row>
    <row r="2092" spans="1:3" x14ac:dyDescent="0.25">
      <c r="A2092" s="71">
        <f t="shared" si="74"/>
        <v>107326</v>
      </c>
      <c r="B2092">
        <f t="shared" ca="1" si="75"/>
        <v>577</v>
      </c>
      <c r="C2092" t="s">
        <v>40</v>
      </c>
    </row>
    <row r="2093" spans="1:3" x14ac:dyDescent="0.25">
      <c r="A2093" s="71">
        <f t="shared" si="74"/>
        <v>107356</v>
      </c>
      <c r="B2093">
        <f t="shared" ca="1" si="75"/>
        <v>577</v>
      </c>
      <c r="C2093" t="s">
        <v>40</v>
      </c>
    </row>
    <row r="2094" spans="1:3" x14ac:dyDescent="0.25">
      <c r="A2094" s="71">
        <f t="shared" si="74"/>
        <v>107386</v>
      </c>
      <c r="B2094">
        <f t="shared" ca="1" si="75"/>
        <v>577</v>
      </c>
      <c r="C2094" t="s">
        <v>40</v>
      </c>
    </row>
    <row r="2095" spans="1:3" x14ac:dyDescent="0.25">
      <c r="A2095" s="71">
        <f t="shared" si="74"/>
        <v>107416</v>
      </c>
      <c r="B2095">
        <f t="shared" ca="1" si="75"/>
        <v>577</v>
      </c>
      <c r="C2095" t="s">
        <v>40</v>
      </c>
    </row>
    <row r="2096" spans="1:3" x14ac:dyDescent="0.25">
      <c r="A2096" s="71">
        <f t="shared" si="74"/>
        <v>107446</v>
      </c>
      <c r="B2096">
        <f t="shared" ca="1" si="75"/>
        <v>577</v>
      </c>
      <c r="C2096" t="s">
        <v>40</v>
      </c>
    </row>
    <row r="2097" spans="1:3" x14ac:dyDescent="0.25">
      <c r="A2097" s="71">
        <f t="shared" si="74"/>
        <v>107476</v>
      </c>
      <c r="B2097">
        <f t="shared" ca="1" si="75"/>
        <v>577</v>
      </c>
      <c r="C2097" t="s">
        <v>40</v>
      </c>
    </row>
    <row r="2098" spans="1:3" x14ac:dyDescent="0.25">
      <c r="A2098" s="71">
        <f t="shared" si="74"/>
        <v>107506</v>
      </c>
      <c r="B2098">
        <f t="shared" ca="1" si="75"/>
        <v>577</v>
      </c>
      <c r="C2098" t="s">
        <v>40</v>
      </c>
    </row>
    <row r="2099" spans="1:3" x14ac:dyDescent="0.25">
      <c r="A2099" s="71">
        <f t="shared" si="74"/>
        <v>107536</v>
      </c>
      <c r="B2099">
        <f t="shared" ca="1" si="75"/>
        <v>577</v>
      </c>
      <c r="C2099" t="s">
        <v>40</v>
      </c>
    </row>
    <row r="2100" spans="1:3" x14ac:dyDescent="0.25">
      <c r="A2100" s="71">
        <f t="shared" si="74"/>
        <v>107566</v>
      </c>
      <c r="B2100">
        <f t="shared" ca="1" si="75"/>
        <v>577</v>
      </c>
      <c r="C2100" t="s">
        <v>40</v>
      </c>
    </row>
    <row r="2101" spans="1:3" x14ac:dyDescent="0.25">
      <c r="A2101" s="71">
        <f t="shared" si="74"/>
        <v>107596</v>
      </c>
      <c r="B2101">
        <f t="shared" ca="1" si="75"/>
        <v>577</v>
      </c>
      <c r="C2101" t="s">
        <v>40</v>
      </c>
    </row>
    <row r="2102" spans="1:3" x14ac:dyDescent="0.25">
      <c r="A2102" s="71">
        <f t="shared" si="74"/>
        <v>107626</v>
      </c>
      <c r="B2102">
        <f t="shared" ca="1" si="75"/>
        <v>577</v>
      </c>
      <c r="C2102" t="s">
        <v>40</v>
      </c>
    </row>
    <row r="2103" spans="1:3" x14ac:dyDescent="0.25">
      <c r="A2103" s="71">
        <f t="shared" si="74"/>
        <v>107656</v>
      </c>
      <c r="B2103">
        <f t="shared" ca="1" si="75"/>
        <v>577</v>
      </c>
      <c r="C2103" t="s">
        <v>40</v>
      </c>
    </row>
    <row r="2104" spans="1:3" x14ac:dyDescent="0.25">
      <c r="A2104" s="71">
        <f t="shared" si="74"/>
        <v>107686</v>
      </c>
      <c r="B2104">
        <f t="shared" ca="1" si="75"/>
        <v>577</v>
      </c>
      <c r="C2104" t="s">
        <v>40</v>
      </c>
    </row>
    <row r="2105" spans="1:3" x14ac:dyDescent="0.25">
      <c r="A2105" s="71">
        <f t="shared" si="74"/>
        <v>107716</v>
      </c>
      <c r="B2105">
        <f t="shared" ca="1" si="75"/>
        <v>577</v>
      </c>
      <c r="C2105" t="s">
        <v>40</v>
      </c>
    </row>
    <row r="2106" spans="1:3" x14ac:dyDescent="0.25">
      <c r="A2106" s="71">
        <f t="shared" si="74"/>
        <v>107746</v>
      </c>
      <c r="B2106">
        <f t="shared" ca="1" si="75"/>
        <v>577</v>
      </c>
      <c r="C2106" t="s">
        <v>40</v>
      </c>
    </row>
    <row r="2107" spans="1:3" x14ac:dyDescent="0.25">
      <c r="A2107" s="71">
        <f t="shared" si="74"/>
        <v>107776</v>
      </c>
      <c r="B2107">
        <f t="shared" ca="1" si="75"/>
        <v>577</v>
      </c>
      <c r="C2107" t="s">
        <v>40</v>
      </c>
    </row>
    <row r="2108" spans="1:3" x14ac:dyDescent="0.25">
      <c r="A2108" s="71">
        <f t="shared" si="74"/>
        <v>107806</v>
      </c>
      <c r="B2108">
        <f t="shared" ca="1" si="75"/>
        <v>577</v>
      </c>
      <c r="C2108" t="s">
        <v>40</v>
      </c>
    </row>
    <row r="2109" spans="1:3" x14ac:dyDescent="0.25">
      <c r="A2109" s="71">
        <f t="shared" si="74"/>
        <v>107836</v>
      </c>
      <c r="B2109">
        <f t="shared" ca="1" si="75"/>
        <v>577</v>
      </c>
      <c r="C2109" t="s">
        <v>40</v>
      </c>
    </row>
    <row r="2110" spans="1:3" x14ac:dyDescent="0.25">
      <c r="A2110" s="71">
        <f t="shared" si="74"/>
        <v>107866</v>
      </c>
      <c r="B2110">
        <f t="shared" ca="1" si="75"/>
        <v>577</v>
      </c>
      <c r="C2110" t="s">
        <v>40</v>
      </c>
    </row>
    <row r="2111" spans="1:3" x14ac:dyDescent="0.25">
      <c r="A2111" s="71">
        <f t="shared" si="74"/>
        <v>107896</v>
      </c>
      <c r="B2111">
        <f t="shared" ca="1" si="75"/>
        <v>577</v>
      </c>
      <c r="C2111" t="s">
        <v>40</v>
      </c>
    </row>
    <row r="2112" spans="1:3" x14ac:dyDescent="0.25">
      <c r="A2112" s="71">
        <f t="shared" si="74"/>
        <v>107926</v>
      </c>
      <c r="B2112">
        <f t="shared" ca="1" si="75"/>
        <v>577</v>
      </c>
      <c r="C2112" t="s">
        <v>40</v>
      </c>
    </row>
    <row r="2113" spans="1:3" x14ac:dyDescent="0.25">
      <c r="A2113" s="71">
        <f t="shared" si="74"/>
        <v>107956</v>
      </c>
      <c r="B2113">
        <f t="shared" ca="1" si="75"/>
        <v>577</v>
      </c>
      <c r="C2113" t="s">
        <v>40</v>
      </c>
    </row>
    <row r="2114" spans="1:3" x14ac:dyDescent="0.25">
      <c r="A2114" s="71">
        <f t="shared" si="74"/>
        <v>107986</v>
      </c>
      <c r="B2114">
        <f t="shared" ca="1" si="75"/>
        <v>577</v>
      </c>
      <c r="C2114" t="s">
        <v>40</v>
      </c>
    </row>
    <row r="2115" spans="1:3" x14ac:dyDescent="0.25">
      <c r="A2115" s="71">
        <f t="shared" si="74"/>
        <v>108016</v>
      </c>
      <c r="B2115">
        <f t="shared" ca="1" si="75"/>
        <v>577</v>
      </c>
      <c r="C2115" t="s">
        <v>40</v>
      </c>
    </row>
    <row r="2116" spans="1:3" x14ac:dyDescent="0.25">
      <c r="A2116" s="71">
        <f t="shared" si="74"/>
        <v>108046</v>
      </c>
      <c r="B2116">
        <f t="shared" ca="1" si="75"/>
        <v>577</v>
      </c>
      <c r="C2116" t="s">
        <v>40</v>
      </c>
    </row>
    <row r="2117" spans="1:3" x14ac:dyDescent="0.25">
      <c r="A2117" s="71">
        <f t="shared" si="74"/>
        <v>108076</v>
      </c>
      <c r="B2117">
        <f t="shared" ca="1" si="75"/>
        <v>577</v>
      </c>
      <c r="C2117" t="s">
        <v>40</v>
      </c>
    </row>
    <row r="2118" spans="1:3" x14ac:dyDescent="0.25">
      <c r="A2118" s="71">
        <f t="shared" si="74"/>
        <v>108106</v>
      </c>
      <c r="B2118">
        <f t="shared" ca="1" si="75"/>
        <v>577</v>
      </c>
      <c r="C2118" t="s">
        <v>40</v>
      </c>
    </row>
    <row r="2119" spans="1:3" x14ac:dyDescent="0.25">
      <c r="A2119" s="71">
        <f t="shared" si="74"/>
        <v>108136</v>
      </c>
      <c r="B2119">
        <f t="shared" ca="1" si="75"/>
        <v>577</v>
      </c>
      <c r="C2119" t="s">
        <v>40</v>
      </c>
    </row>
    <row r="2120" spans="1:3" x14ac:dyDescent="0.25">
      <c r="A2120" s="71">
        <f t="shared" si="74"/>
        <v>108166</v>
      </c>
      <c r="B2120">
        <f t="shared" ca="1" si="75"/>
        <v>577</v>
      </c>
      <c r="C2120" t="s">
        <v>40</v>
      </c>
    </row>
    <row r="2121" spans="1:3" x14ac:dyDescent="0.25">
      <c r="A2121" s="71">
        <f t="shared" si="74"/>
        <v>108196</v>
      </c>
      <c r="B2121">
        <f t="shared" ca="1" si="75"/>
        <v>577</v>
      </c>
      <c r="C2121" t="s">
        <v>40</v>
      </c>
    </row>
    <row r="2122" spans="1:3" x14ac:dyDescent="0.25">
      <c r="A2122" s="71">
        <f t="shared" si="74"/>
        <v>108226</v>
      </c>
      <c r="B2122">
        <f t="shared" ca="1" si="75"/>
        <v>577</v>
      </c>
      <c r="C2122" t="s">
        <v>40</v>
      </c>
    </row>
    <row r="2123" spans="1:3" x14ac:dyDescent="0.25">
      <c r="A2123" s="71">
        <f t="shared" si="74"/>
        <v>108256</v>
      </c>
      <c r="B2123">
        <f t="shared" ca="1" si="75"/>
        <v>577</v>
      </c>
      <c r="C2123" t="s">
        <v>40</v>
      </c>
    </row>
    <row r="2124" spans="1:3" x14ac:dyDescent="0.25">
      <c r="A2124" s="71">
        <f t="shared" ref="A2124:A2187" si="76">A2123+30</f>
        <v>108286</v>
      </c>
      <c r="B2124">
        <f t="shared" ref="B2124:B2187" ca="1" si="77">B2123</f>
        <v>577</v>
      </c>
      <c r="C2124" t="s">
        <v>40</v>
      </c>
    </row>
    <row r="2125" spans="1:3" x14ac:dyDescent="0.25">
      <c r="A2125" s="71">
        <f t="shared" si="76"/>
        <v>108316</v>
      </c>
      <c r="B2125">
        <f t="shared" ca="1" si="77"/>
        <v>577</v>
      </c>
      <c r="C2125" t="s">
        <v>40</v>
      </c>
    </row>
    <row r="2126" spans="1:3" x14ac:dyDescent="0.25">
      <c r="A2126" s="71">
        <f t="shared" si="76"/>
        <v>108346</v>
      </c>
      <c r="B2126">
        <f t="shared" ca="1" si="77"/>
        <v>577</v>
      </c>
      <c r="C2126" t="s">
        <v>40</v>
      </c>
    </row>
    <row r="2127" spans="1:3" x14ac:dyDescent="0.25">
      <c r="A2127" s="71">
        <f t="shared" si="76"/>
        <v>108376</v>
      </c>
      <c r="B2127">
        <f t="shared" ca="1" si="77"/>
        <v>577</v>
      </c>
      <c r="C2127" t="s">
        <v>40</v>
      </c>
    </row>
    <row r="2128" spans="1:3" x14ac:dyDescent="0.25">
      <c r="A2128" s="71">
        <f t="shared" si="76"/>
        <v>108406</v>
      </c>
      <c r="B2128">
        <f t="shared" ca="1" si="77"/>
        <v>577</v>
      </c>
      <c r="C2128" t="s">
        <v>40</v>
      </c>
    </row>
    <row r="2129" spans="1:3" x14ac:dyDescent="0.25">
      <c r="A2129" s="71">
        <f t="shared" si="76"/>
        <v>108436</v>
      </c>
      <c r="B2129">
        <f t="shared" ca="1" si="77"/>
        <v>577</v>
      </c>
      <c r="C2129" t="s">
        <v>40</v>
      </c>
    </row>
    <row r="2130" spans="1:3" x14ac:dyDescent="0.25">
      <c r="A2130" s="71">
        <f t="shared" si="76"/>
        <v>108466</v>
      </c>
      <c r="B2130">
        <f t="shared" ca="1" si="77"/>
        <v>577</v>
      </c>
      <c r="C2130" t="s">
        <v>40</v>
      </c>
    </row>
    <row r="2131" spans="1:3" x14ac:dyDescent="0.25">
      <c r="A2131" s="71">
        <f t="shared" si="76"/>
        <v>108496</v>
      </c>
      <c r="B2131">
        <f t="shared" ca="1" si="77"/>
        <v>577</v>
      </c>
      <c r="C2131" t="s">
        <v>40</v>
      </c>
    </row>
    <row r="2132" spans="1:3" x14ac:dyDescent="0.25">
      <c r="A2132" s="71">
        <f t="shared" si="76"/>
        <v>108526</v>
      </c>
      <c r="B2132">
        <f t="shared" ca="1" si="77"/>
        <v>577</v>
      </c>
      <c r="C2132" t="s">
        <v>40</v>
      </c>
    </row>
    <row r="2133" spans="1:3" x14ac:dyDescent="0.25">
      <c r="A2133" s="71">
        <f t="shared" si="76"/>
        <v>108556</v>
      </c>
      <c r="B2133">
        <f t="shared" ca="1" si="77"/>
        <v>577</v>
      </c>
      <c r="C2133" t="s">
        <v>40</v>
      </c>
    </row>
    <row r="2134" spans="1:3" x14ac:dyDescent="0.25">
      <c r="A2134" s="71">
        <f t="shared" si="76"/>
        <v>108586</v>
      </c>
      <c r="B2134">
        <f t="shared" ca="1" si="77"/>
        <v>577</v>
      </c>
      <c r="C2134" t="s">
        <v>40</v>
      </c>
    </row>
    <row r="2135" spans="1:3" x14ac:dyDescent="0.25">
      <c r="A2135" s="71">
        <f t="shared" si="76"/>
        <v>108616</v>
      </c>
      <c r="B2135">
        <f t="shared" ca="1" si="77"/>
        <v>577</v>
      </c>
      <c r="C2135" t="s">
        <v>40</v>
      </c>
    </row>
    <row r="2136" spans="1:3" x14ac:dyDescent="0.25">
      <c r="A2136" s="71">
        <f t="shared" si="76"/>
        <v>108646</v>
      </c>
      <c r="B2136">
        <f t="shared" ca="1" si="77"/>
        <v>577</v>
      </c>
      <c r="C2136" t="s">
        <v>40</v>
      </c>
    </row>
    <row r="2137" spans="1:3" x14ac:dyDescent="0.25">
      <c r="A2137" s="71">
        <f t="shared" si="76"/>
        <v>108676</v>
      </c>
      <c r="B2137">
        <f t="shared" ca="1" si="77"/>
        <v>577</v>
      </c>
      <c r="C2137" t="s">
        <v>40</v>
      </c>
    </row>
    <row r="2138" spans="1:3" x14ac:dyDescent="0.25">
      <c r="A2138" s="71">
        <f t="shared" si="76"/>
        <v>108706</v>
      </c>
      <c r="B2138">
        <f t="shared" ca="1" si="77"/>
        <v>577</v>
      </c>
      <c r="C2138" t="s">
        <v>40</v>
      </c>
    </row>
    <row r="2139" spans="1:3" x14ac:dyDescent="0.25">
      <c r="A2139" s="71">
        <f t="shared" si="76"/>
        <v>108736</v>
      </c>
      <c r="B2139">
        <f t="shared" ca="1" si="77"/>
        <v>577</v>
      </c>
      <c r="C2139" t="s">
        <v>40</v>
      </c>
    </row>
    <row r="2140" spans="1:3" x14ac:dyDescent="0.25">
      <c r="A2140" s="71">
        <f t="shared" si="76"/>
        <v>108766</v>
      </c>
      <c r="B2140">
        <f t="shared" ca="1" si="77"/>
        <v>577</v>
      </c>
      <c r="C2140" t="s">
        <v>40</v>
      </c>
    </row>
    <row r="2141" spans="1:3" x14ac:dyDescent="0.25">
      <c r="A2141" s="71">
        <f t="shared" si="76"/>
        <v>108796</v>
      </c>
      <c r="B2141">
        <f t="shared" ca="1" si="77"/>
        <v>577</v>
      </c>
      <c r="C2141" t="s">
        <v>40</v>
      </c>
    </row>
    <row r="2142" spans="1:3" x14ac:dyDescent="0.25">
      <c r="A2142" s="71">
        <f t="shared" si="76"/>
        <v>108826</v>
      </c>
      <c r="B2142">
        <f t="shared" ca="1" si="77"/>
        <v>577</v>
      </c>
      <c r="C2142" t="s">
        <v>40</v>
      </c>
    </row>
    <row r="2143" spans="1:3" x14ac:dyDescent="0.25">
      <c r="A2143" s="71">
        <f t="shared" si="76"/>
        <v>108856</v>
      </c>
      <c r="B2143">
        <f t="shared" ca="1" si="77"/>
        <v>577</v>
      </c>
      <c r="C2143" t="s">
        <v>40</v>
      </c>
    </row>
    <row r="2144" spans="1:3" x14ac:dyDescent="0.25">
      <c r="A2144" s="71">
        <f t="shared" si="76"/>
        <v>108886</v>
      </c>
      <c r="B2144">
        <f t="shared" ca="1" si="77"/>
        <v>577</v>
      </c>
      <c r="C2144" t="s">
        <v>40</v>
      </c>
    </row>
    <row r="2145" spans="1:3" x14ac:dyDescent="0.25">
      <c r="A2145" s="71">
        <f t="shared" si="76"/>
        <v>108916</v>
      </c>
      <c r="B2145">
        <f t="shared" ca="1" si="77"/>
        <v>577</v>
      </c>
      <c r="C2145" t="s">
        <v>40</v>
      </c>
    </row>
    <row r="2146" spans="1:3" x14ac:dyDescent="0.25">
      <c r="A2146" s="71">
        <f t="shared" si="76"/>
        <v>108946</v>
      </c>
      <c r="B2146">
        <f t="shared" ca="1" si="77"/>
        <v>577</v>
      </c>
      <c r="C2146" t="s">
        <v>40</v>
      </c>
    </row>
    <row r="2147" spans="1:3" x14ac:dyDescent="0.25">
      <c r="A2147" s="71">
        <f t="shared" si="76"/>
        <v>108976</v>
      </c>
      <c r="B2147">
        <f t="shared" ca="1" si="77"/>
        <v>577</v>
      </c>
      <c r="C2147" t="s">
        <v>40</v>
      </c>
    </row>
    <row r="2148" spans="1:3" x14ac:dyDescent="0.25">
      <c r="A2148" s="71">
        <f t="shared" si="76"/>
        <v>109006</v>
      </c>
      <c r="B2148">
        <f t="shared" ca="1" si="77"/>
        <v>577</v>
      </c>
      <c r="C2148" t="s">
        <v>40</v>
      </c>
    </row>
    <row r="2149" spans="1:3" x14ac:dyDescent="0.25">
      <c r="A2149" s="71">
        <f t="shared" si="76"/>
        <v>109036</v>
      </c>
      <c r="B2149">
        <f t="shared" ca="1" si="77"/>
        <v>577</v>
      </c>
      <c r="C2149" t="s">
        <v>40</v>
      </c>
    </row>
    <row r="2150" spans="1:3" x14ac:dyDescent="0.25">
      <c r="A2150" s="71">
        <f t="shared" si="76"/>
        <v>109066</v>
      </c>
      <c r="B2150">
        <f t="shared" ca="1" si="77"/>
        <v>577</v>
      </c>
      <c r="C2150" t="s">
        <v>40</v>
      </c>
    </row>
    <row r="2151" spans="1:3" x14ac:dyDescent="0.25">
      <c r="A2151" s="71">
        <f t="shared" si="76"/>
        <v>109096</v>
      </c>
      <c r="B2151">
        <f t="shared" ca="1" si="77"/>
        <v>577</v>
      </c>
      <c r="C2151" t="s">
        <v>40</v>
      </c>
    </row>
    <row r="2152" spans="1:3" x14ac:dyDescent="0.25">
      <c r="A2152" s="71">
        <f t="shared" si="76"/>
        <v>109126</v>
      </c>
      <c r="B2152">
        <f t="shared" ca="1" si="77"/>
        <v>577</v>
      </c>
      <c r="C2152" t="s">
        <v>40</v>
      </c>
    </row>
    <row r="2153" spans="1:3" x14ac:dyDescent="0.25">
      <c r="A2153" s="71">
        <f t="shared" si="76"/>
        <v>109156</v>
      </c>
      <c r="B2153">
        <f t="shared" ca="1" si="77"/>
        <v>577</v>
      </c>
      <c r="C2153" t="s">
        <v>40</v>
      </c>
    </row>
    <row r="2154" spans="1:3" x14ac:dyDescent="0.25">
      <c r="A2154" s="71">
        <f t="shared" si="76"/>
        <v>109186</v>
      </c>
      <c r="B2154">
        <f t="shared" ca="1" si="77"/>
        <v>577</v>
      </c>
      <c r="C2154" t="s">
        <v>40</v>
      </c>
    </row>
    <row r="2155" spans="1:3" x14ac:dyDescent="0.25">
      <c r="A2155" s="71">
        <f t="shared" si="76"/>
        <v>109216</v>
      </c>
      <c r="B2155">
        <f t="shared" ca="1" si="77"/>
        <v>577</v>
      </c>
      <c r="C2155" t="s">
        <v>40</v>
      </c>
    </row>
    <row r="2156" spans="1:3" x14ac:dyDescent="0.25">
      <c r="A2156" s="71">
        <f t="shared" si="76"/>
        <v>109246</v>
      </c>
      <c r="B2156">
        <f t="shared" ca="1" si="77"/>
        <v>577</v>
      </c>
      <c r="C2156" t="s">
        <v>40</v>
      </c>
    </row>
    <row r="2157" spans="1:3" x14ac:dyDescent="0.25">
      <c r="A2157" s="71">
        <f t="shared" si="76"/>
        <v>109276</v>
      </c>
      <c r="B2157">
        <f t="shared" ca="1" si="77"/>
        <v>577</v>
      </c>
      <c r="C2157" t="s">
        <v>40</v>
      </c>
    </row>
    <row r="2158" spans="1:3" x14ac:dyDescent="0.25">
      <c r="A2158" s="71">
        <f t="shared" si="76"/>
        <v>109306</v>
      </c>
      <c r="B2158">
        <f t="shared" ca="1" si="77"/>
        <v>577</v>
      </c>
      <c r="C2158" t="s">
        <v>40</v>
      </c>
    </row>
    <row r="2159" spans="1:3" x14ac:dyDescent="0.25">
      <c r="A2159" s="71">
        <f t="shared" si="76"/>
        <v>109336</v>
      </c>
      <c r="B2159">
        <f t="shared" ca="1" si="77"/>
        <v>577</v>
      </c>
      <c r="C2159" t="s">
        <v>40</v>
      </c>
    </row>
    <row r="2160" spans="1:3" x14ac:dyDescent="0.25">
      <c r="A2160" s="71">
        <f t="shared" si="76"/>
        <v>109366</v>
      </c>
      <c r="B2160">
        <f t="shared" ca="1" si="77"/>
        <v>577</v>
      </c>
      <c r="C2160" t="s">
        <v>40</v>
      </c>
    </row>
    <row r="2161" spans="1:3" x14ac:dyDescent="0.25">
      <c r="A2161" s="71">
        <f t="shared" si="76"/>
        <v>109396</v>
      </c>
      <c r="B2161">
        <f t="shared" ca="1" si="77"/>
        <v>577</v>
      </c>
      <c r="C2161" t="s">
        <v>40</v>
      </c>
    </row>
    <row r="2162" spans="1:3" x14ac:dyDescent="0.25">
      <c r="A2162" s="71">
        <f t="shared" si="76"/>
        <v>109426</v>
      </c>
      <c r="B2162">
        <f t="shared" ca="1" si="77"/>
        <v>577</v>
      </c>
      <c r="C2162" t="s">
        <v>40</v>
      </c>
    </row>
    <row r="2163" spans="1:3" x14ac:dyDescent="0.25">
      <c r="A2163" s="71">
        <f t="shared" si="76"/>
        <v>109456</v>
      </c>
      <c r="B2163">
        <f t="shared" ca="1" si="77"/>
        <v>577</v>
      </c>
      <c r="C2163" t="s">
        <v>40</v>
      </c>
    </row>
    <row r="2164" spans="1:3" x14ac:dyDescent="0.25">
      <c r="A2164" s="71">
        <f t="shared" si="76"/>
        <v>109486</v>
      </c>
      <c r="B2164">
        <f t="shared" ca="1" si="77"/>
        <v>577</v>
      </c>
      <c r="C2164" t="s">
        <v>40</v>
      </c>
    </row>
    <row r="2165" spans="1:3" x14ac:dyDescent="0.25">
      <c r="A2165" s="71">
        <f t="shared" si="76"/>
        <v>109516</v>
      </c>
      <c r="B2165">
        <f t="shared" ca="1" si="77"/>
        <v>577</v>
      </c>
      <c r="C2165" t="s">
        <v>40</v>
      </c>
    </row>
    <row r="2166" spans="1:3" x14ac:dyDescent="0.25">
      <c r="A2166" s="71">
        <f t="shared" si="76"/>
        <v>109546</v>
      </c>
      <c r="B2166">
        <f t="shared" ca="1" si="77"/>
        <v>577</v>
      </c>
      <c r="C2166" t="s">
        <v>40</v>
      </c>
    </row>
    <row r="2167" spans="1:3" x14ac:dyDescent="0.25">
      <c r="A2167" s="71">
        <f t="shared" si="76"/>
        <v>109576</v>
      </c>
      <c r="B2167">
        <f t="shared" ca="1" si="77"/>
        <v>577</v>
      </c>
      <c r="C2167" t="s">
        <v>40</v>
      </c>
    </row>
    <row r="2168" spans="1:3" x14ac:dyDescent="0.25">
      <c r="A2168" s="71">
        <f t="shared" si="76"/>
        <v>109606</v>
      </c>
      <c r="B2168">
        <f t="shared" ca="1" si="77"/>
        <v>577</v>
      </c>
      <c r="C2168" t="s">
        <v>40</v>
      </c>
    </row>
    <row r="2169" spans="1:3" x14ac:dyDescent="0.25">
      <c r="A2169" s="71">
        <f t="shared" si="76"/>
        <v>109636</v>
      </c>
      <c r="B2169">
        <f t="shared" ca="1" si="77"/>
        <v>577</v>
      </c>
      <c r="C2169" t="s">
        <v>40</v>
      </c>
    </row>
    <row r="2170" spans="1:3" x14ac:dyDescent="0.25">
      <c r="A2170" s="71">
        <f t="shared" si="76"/>
        <v>109666</v>
      </c>
      <c r="B2170">
        <f t="shared" ca="1" si="77"/>
        <v>577</v>
      </c>
      <c r="C2170" t="s">
        <v>40</v>
      </c>
    </row>
    <row r="2171" spans="1:3" x14ac:dyDescent="0.25">
      <c r="A2171" s="71">
        <f t="shared" si="76"/>
        <v>109696</v>
      </c>
      <c r="B2171">
        <f t="shared" ca="1" si="77"/>
        <v>577</v>
      </c>
      <c r="C2171" t="s">
        <v>40</v>
      </c>
    </row>
    <row r="2172" spans="1:3" x14ac:dyDescent="0.25">
      <c r="A2172" s="71">
        <f t="shared" si="76"/>
        <v>109726</v>
      </c>
      <c r="B2172">
        <f t="shared" ca="1" si="77"/>
        <v>577</v>
      </c>
      <c r="C2172" t="s">
        <v>40</v>
      </c>
    </row>
    <row r="2173" spans="1:3" x14ac:dyDescent="0.25">
      <c r="A2173" s="71">
        <f t="shared" si="76"/>
        <v>109756</v>
      </c>
      <c r="B2173">
        <f t="shared" ca="1" si="77"/>
        <v>577</v>
      </c>
      <c r="C2173" t="s">
        <v>40</v>
      </c>
    </row>
    <row r="2174" spans="1:3" x14ac:dyDescent="0.25">
      <c r="A2174" s="71">
        <f t="shared" si="76"/>
        <v>109786</v>
      </c>
      <c r="B2174">
        <f t="shared" ca="1" si="77"/>
        <v>577</v>
      </c>
      <c r="C2174" t="s">
        <v>40</v>
      </c>
    </row>
    <row r="2175" spans="1:3" x14ac:dyDescent="0.25">
      <c r="A2175" s="71">
        <f t="shared" si="76"/>
        <v>109816</v>
      </c>
      <c r="B2175">
        <f t="shared" ca="1" si="77"/>
        <v>577</v>
      </c>
      <c r="C2175" t="s">
        <v>40</v>
      </c>
    </row>
    <row r="2176" spans="1:3" x14ac:dyDescent="0.25">
      <c r="A2176" s="71">
        <f t="shared" si="76"/>
        <v>109846</v>
      </c>
      <c r="B2176">
        <f t="shared" ca="1" si="77"/>
        <v>577</v>
      </c>
      <c r="C2176" t="s">
        <v>40</v>
      </c>
    </row>
    <row r="2177" spans="1:3" x14ac:dyDescent="0.25">
      <c r="A2177" s="71">
        <f t="shared" si="76"/>
        <v>109876</v>
      </c>
      <c r="B2177">
        <f t="shared" ca="1" si="77"/>
        <v>577</v>
      </c>
      <c r="C2177" t="s">
        <v>40</v>
      </c>
    </row>
    <row r="2178" spans="1:3" x14ac:dyDescent="0.25">
      <c r="A2178" s="71">
        <f t="shared" si="76"/>
        <v>109906</v>
      </c>
      <c r="B2178">
        <f t="shared" ca="1" si="77"/>
        <v>577</v>
      </c>
      <c r="C2178" t="s">
        <v>40</v>
      </c>
    </row>
    <row r="2179" spans="1:3" x14ac:dyDescent="0.25">
      <c r="A2179" s="71">
        <f t="shared" si="76"/>
        <v>109936</v>
      </c>
      <c r="B2179">
        <f t="shared" ca="1" si="77"/>
        <v>577</v>
      </c>
      <c r="C2179" t="s">
        <v>40</v>
      </c>
    </row>
    <row r="2180" spans="1:3" x14ac:dyDescent="0.25">
      <c r="A2180" s="71">
        <f t="shared" si="76"/>
        <v>109966</v>
      </c>
      <c r="B2180">
        <f t="shared" ca="1" si="77"/>
        <v>577</v>
      </c>
      <c r="C2180" t="s">
        <v>40</v>
      </c>
    </row>
    <row r="2181" spans="1:3" x14ac:dyDescent="0.25">
      <c r="A2181" s="71">
        <f t="shared" si="76"/>
        <v>109996</v>
      </c>
      <c r="B2181">
        <f t="shared" ca="1" si="77"/>
        <v>577</v>
      </c>
      <c r="C2181" t="s">
        <v>40</v>
      </c>
    </row>
    <row r="2182" spans="1:3" x14ac:dyDescent="0.25">
      <c r="A2182" s="71">
        <f t="shared" si="76"/>
        <v>110026</v>
      </c>
      <c r="B2182">
        <f t="shared" ca="1" si="77"/>
        <v>577</v>
      </c>
      <c r="C2182" t="s">
        <v>40</v>
      </c>
    </row>
    <row r="2183" spans="1:3" x14ac:dyDescent="0.25">
      <c r="A2183" s="71">
        <f t="shared" si="76"/>
        <v>110056</v>
      </c>
      <c r="B2183">
        <f t="shared" ca="1" si="77"/>
        <v>577</v>
      </c>
      <c r="C2183" t="s">
        <v>40</v>
      </c>
    </row>
    <row r="2184" spans="1:3" x14ac:dyDescent="0.25">
      <c r="A2184" s="71">
        <f t="shared" si="76"/>
        <v>110086</v>
      </c>
      <c r="B2184">
        <f t="shared" ca="1" si="77"/>
        <v>577</v>
      </c>
      <c r="C2184" t="s">
        <v>40</v>
      </c>
    </row>
    <row r="2185" spans="1:3" x14ac:dyDescent="0.25">
      <c r="A2185" s="71">
        <f t="shared" si="76"/>
        <v>110116</v>
      </c>
      <c r="B2185">
        <f t="shared" ca="1" si="77"/>
        <v>577</v>
      </c>
      <c r="C2185" t="s">
        <v>40</v>
      </c>
    </row>
    <row r="2186" spans="1:3" x14ac:dyDescent="0.25">
      <c r="A2186" s="71">
        <f t="shared" si="76"/>
        <v>110146</v>
      </c>
      <c r="B2186">
        <f t="shared" ca="1" si="77"/>
        <v>577</v>
      </c>
      <c r="C2186" t="s">
        <v>40</v>
      </c>
    </row>
    <row r="2187" spans="1:3" x14ac:dyDescent="0.25">
      <c r="A2187" s="71">
        <f t="shared" si="76"/>
        <v>110176</v>
      </c>
      <c r="B2187">
        <f t="shared" ca="1" si="77"/>
        <v>577</v>
      </c>
      <c r="C2187" t="s">
        <v>40</v>
      </c>
    </row>
    <row r="2188" spans="1:3" x14ac:dyDescent="0.25">
      <c r="A2188" s="71">
        <f t="shared" ref="A2188:A2251" si="78">A2187+30</f>
        <v>110206</v>
      </c>
      <c r="B2188">
        <f t="shared" ref="B2188:B2251" ca="1" si="79">B2187</f>
        <v>577</v>
      </c>
      <c r="C2188" t="s">
        <v>40</v>
      </c>
    </row>
    <row r="2189" spans="1:3" x14ac:dyDescent="0.25">
      <c r="A2189" s="71">
        <f t="shared" si="78"/>
        <v>110236</v>
      </c>
      <c r="B2189">
        <f t="shared" ca="1" si="79"/>
        <v>577</v>
      </c>
      <c r="C2189" t="s">
        <v>40</v>
      </c>
    </row>
    <row r="2190" spans="1:3" x14ac:dyDescent="0.25">
      <c r="A2190" s="71">
        <f t="shared" si="78"/>
        <v>110266</v>
      </c>
      <c r="B2190">
        <f t="shared" ca="1" si="79"/>
        <v>577</v>
      </c>
      <c r="C2190" t="s">
        <v>40</v>
      </c>
    </row>
    <row r="2191" spans="1:3" x14ac:dyDescent="0.25">
      <c r="A2191" s="71">
        <f t="shared" si="78"/>
        <v>110296</v>
      </c>
      <c r="B2191">
        <f t="shared" ca="1" si="79"/>
        <v>577</v>
      </c>
      <c r="C2191" t="s">
        <v>40</v>
      </c>
    </row>
    <row r="2192" spans="1:3" x14ac:dyDescent="0.25">
      <c r="A2192" s="71">
        <f t="shared" si="78"/>
        <v>110326</v>
      </c>
      <c r="B2192">
        <f t="shared" ca="1" si="79"/>
        <v>577</v>
      </c>
      <c r="C2192" t="s">
        <v>40</v>
      </c>
    </row>
    <row r="2193" spans="1:3" x14ac:dyDescent="0.25">
      <c r="A2193" s="71">
        <f t="shared" si="78"/>
        <v>110356</v>
      </c>
      <c r="B2193">
        <f t="shared" ca="1" si="79"/>
        <v>577</v>
      </c>
      <c r="C2193" t="s">
        <v>40</v>
      </c>
    </row>
    <row r="2194" spans="1:3" x14ac:dyDescent="0.25">
      <c r="A2194" s="71">
        <f t="shared" si="78"/>
        <v>110386</v>
      </c>
      <c r="B2194">
        <f t="shared" ca="1" si="79"/>
        <v>577</v>
      </c>
      <c r="C2194" t="s">
        <v>40</v>
      </c>
    </row>
    <row r="2195" spans="1:3" x14ac:dyDescent="0.25">
      <c r="A2195" s="71">
        <f t="shared" si="78"/>
        <v>110416</v>
      </c>
      <c r="B2195">
        <f t="shared" ca="1" si="79"/>
        <v>577</v>
      </c>
      <c r="C2195" t="s">
        <v>40</v>
      </c>
    </row>
    <row r="2196" spans="1:3" x14ac:dyDescent="0.25">
      <c r="A2196" s="71">
        <f t="shared" si="78"/>
        <v>110446</v>
      </c>
      <c r="B2196">
        <f t="shared" ca="1" si="79"/>
        <v>577</v>
      </c>
      <c r="C2196" t="s">
        <v>40</v>
      </c>
    </row>
    <row r="2197" spans="1:3" x14ac:dyDescent="0.25">
      <c r="A2197" s="71">
        <f t="shared" si="78"/>
        <v>110476</v>
      </c>
      <c r="B2197">
        <f t="shared" ca="1" si="79"/>
        <v>577</v>
      </c>
      <c r="C2197" t="s">
        <v>40</v>
      </c>
    </row>
    <row r="2198" spans="1:3" x14ac:dyDescent="0.25">
      <c r="A2198" s="71">
        <f t="shared" si="78"/>
        <v>110506</v>
      </c>
      <c r="B2198">
        <f t="shared" ca="1" si="79"/>
        <v>577</v>
      </c>
      <c r="C2198" t="s">
        <v>40</v>
      </c>
    </row>
    <row r="2199" spans="1:3" x14ac:dyDescent="0.25">
      <c r="A2199" s="71">
        <f t="shared" si="78"/>
        <v>110536</v>
      </c>
      <c r="B2199">
        <f t="shared" ca="1" si="79"/>
        <v>577</v>
      </c>
      <c r="C2199" t="s">
        <v>40</v>
      </c>
    </row>
    <row r="2200" spans="1:3" x14ac:dyDescent="0.25">
      <c r="A2200" s="71">
        <f t="shared" si="78"/>
        <v>110566</v>
      </c>
      <c r="B2200">
        <f t="shared" ca="1" si="79"/>
        <v>577</v>
      </c>
      <c r="C2200" t="s">
        <v>40</v>
      </c>
    </row>
    <row r="2201" spans="1:3" x14ac:dyDescent="0.25">
      <c r="A2201" s="71">
        <f t="shared" si="78"/>
        <v>110596</v>
      </c>
      <c r="B2201">
        <f t="shared" ca="1" si="79"/>
        <v>577</v>
      </c>
      <c r="C2201" t="s">
        <v>40</v>
      </c>
    </row>
    <row r="2202" spans="1:3" x14ac:dyDescent="0.25">
      <c r="A2202" s="71">
        <f t="shared" si="78"/>
        <v>110626</v>
      </c>
      <c r="B2202">
        <f t="shared" ca="1" si="79"/>
        <v>577</v>
      </c>
      <c r="C2202" t="s">
        <v>40</v>
      </c>
    </row>
    <row r="2203" spans="1:3" x14ac:dyDescent="0.25">
      <c r="A2203" s="71">
        <f t="shared" si="78"/>
        <v>110656</v>
      </c>
      <c r="B2203">
        <f t="shared" ca="1" si="79"/>
        <v>577</v>
      </c>
      <c r="C2203" t="s">
        <v>40</v>
      </c>
    </row>
    <row r="2204" spans="1:3" x14ac:dyDescent="0.25">
      <c r="A2204" s="71">
        <f t="shared" si="78"/>
        <v>110686</v>
      </c>
      <c r="B2204">
        <f t="shared" ca="1" si="79"/>
        <v>577</v>
      </c>
      <c r="C2204" t="s">
        <v>40</v>
      </c>
    </row>
    <row r="2205" spans="1:3" x14ac:dyDescent="0.25">
      <c r="A2205" s="71">
        <f t="shared" si="78"/>
        <v>110716</v>
      </c>
      <c r="B2205">
        <f t="shared" ca="1" si="79"/>
        <v>577</v>
      </c>
      <c r="C2205" t="s">
        <v>40</v>
      </c>
    </row>
    <row r="2206" spans="1:3" x14ac:dyDescent="0.25">
      <c r="A2206" s="71">
        <f t="shared" si="78"/>
        <v>110746</v>
      </c>
      <c r="B2206">
        <f t="shared" ca="1" si="79"/>
        <v>577</v>
      </c>
      <c r="C2206" t="s">
        <v>40</v>
      </c>
    </row>
    <row r="2207" spans="1:3" x14ac:dyDescent="0.25">
      <c r="A2207" s="71">
        <f t="shared" si="78"/>
        <v>110776</v>
      </c>
      <c r="B2207">
        <f t="shared" ca="1" si="79"/>
        <v>577</v>
      </c>
      <c r="C2207" t="s">
        <v>40</v>
      </c>
    </row>
    <row r="2208" spans="1:3" x14ac:dyDescent="0.25">
      <c r="A2208" s="71">
        <f t="shared" si="78"/>
        <v>110806</v>
      </c>
      <c r="B2208">
        <f t="shared" ca="1" si="79"/>
        <v>577</v>
      </c>
      <c r="C2208" t="s">
        <v>40</v>
      </c>
    </row>
    <row r="2209" spans="1:3" x14ac:dyDescent="0.25">
      <c r="A2209" s="71">
        <f t="shared" si="78"/>
        <v>110836</v>
      </c>
      <c r="B2209">
        <f t="shared" ca="1" si="79"/>
        <v>577</v>
      </c>
      <c r="C2209" t="s">
        <v>40</v>
      </c>
    </row>
    <row r="2210" spans="1:3" x14ac:dyDescent="0.25">
      <c r="A2210" s="71">
        <f t="shared" si="78"/>
        <v>110866</v>
      </c>
      <c r="B2210">
        <f t="shared" ca="1" si="79"/>
        <v>577</v>
      </c>
      <c r="C2210" t="s">
        <v>40</v>
      </c>
    </row>
    <row r="2211" spans="1:3" x14ac:dyDescent="0.25">
      <c r="A2211" s="71">
        <f t="shared" si="78"/>
        <v>110896</v>
      </c>
      <c r="B2211">
        <f t="shared" ca="1" si="79"/>
        <v>577</v>
      </c>
      <c r="C2211" t="s">
        <v>40</v>
      </c>
    </row>
    <row r="2212" spans="1:3" x14ac:dyDescent="0.25">
      <c r="A2212" s="71">
        <f t="shared" si="78"/>
        <v>110926</v>
      </c>
      <c r="B2212">
        <f t="shared" ca="1" si="79"/>
        <v>577</v>
      </c>
      <c r="C2212" t="s">
        <v>40</v>
      </c>
    </row>
    <row r="2213" spans="1:3" x14ac:dyDescent="0.25">
      <c r="A2213" s="71">
        <f t="shared" si="78"/>
        <v>110956</v>
      </c>
      <c r="B2213">
        <f t="shared" ca="1" si="79"/>
        <v>577</v>
      </c>
      <c r="C2213" t="s">
        <v>40</v>
      </c>
    </row>
    <row r="2214" spans="1:3" x14ac:dyDescent="0.25">
      <c r="A2214" s="71">
        <f t="shared" si="78"/>
        <v>110986</v>
      </c>
      <c r="B2214">
        <f t="shared" ca="1" si="79"/>
        <v>577</v>
      </c>
      <c r="C2214" t="s">
        <v>40</v>
      </c>
    </row>
    <row r="2215" spans="1:3" x14ac:dyDescent="0.25">
      <c r="A2215" s="71">
        <f t="shared" si="78"/>
        <v>111016</v>
      </c>
      <c r="B2215">
        <f t="shared" ca="1" si="79"/>
        <v>577</v>
      </c>
      <c r="C2215" t="s">
        <v>40</v>
      </c>
    </row>
    <row r="2216" spans="1:3" x14ac:dyDescent="0.25">
      <c r="A2216" s="71">
        <f t="shared" si="78"/>
        <v>111046</v>
      </c>
      <c r="B2216">
        <f t="shared" ca="1" si="79"/>
        <v>577</v>
      </c>
      <c r="C2216" t="s">
        <v>40</v>
      </c>
    </row>
    <row r="2217" spans="1:3" x14ac:dyDescent="0.25">
      <c r="A2217" s="71">
        <f t="shared" si="78"/>
        <v>111076</v>
      </c>
      <c r="B2217">
        <f t="shared" ca="1" si="79"/>
        <v>577</v>
      </c>
      <c r="C2217" t="s">
        <v>40</v>
      </c>
    </row>
    <row r="2218" spans="1:3" x14ac:dyDescent="0.25">
      <c r="A2218" s="71">
        <f t="shared" si="78"/>
        <v>111106</v>
      </c>
      <c r="B2218">
        <f t="shared" ca="1" si="79"/>
        <v>577</v>
      </c>
      <c r="C2218" t="s">
        <v>40</v>
      </c>
    </row>
    <row r="2219" spans="1:3" x14ac:dyDescent="0.25">
      <c r="A2219" s="71">
        <f t="shared" si="78"/>
        <v>111136</v>
      </c>
      <c r="B2219">
        <f t="shared" ca="1" si="79"/>
        <v>577</v>
      </c>
      <c r="C2219" t="s">
        <v>40</v>
      </c>
    </row>
    <row r="2220" spans="1:3" x14ac:dyDescent="0.25">
      <c r="A2220" s="71">
        <f t="shared" si="78"/>
        <v>111166</v>
      </c>
      <c r="B2220">
        <f t="shared" ca="1" si="79"/>
        <v>577</v>
      </c>
      <c r="C2220" t="s">
        <v>40</v>
      </c>
    </row>
    <row r="2221" spans="1:3" x14ac:dyDescent="0.25">
      <c r="A2221" s="71">
        <f t="shared" si="78"/>
        <v>111196</v>
      </c>
      <c r="B2221">
        <f t="shared" ca="1" si="79"/>
        <v>577</v>
      </c>
      <c r="C2221" t="s">
        <v>40</v>
      </c>
    </row>
    <row r="2222" spans="1:3" x14ac:dyDescent="0.25">
      <c r="A2222" s="71">
        <f t="shared" si="78"/>
        <v>111226</v>
      </c>
      <c r="B2222">
        <f t="shared" ca="1" si="79"/>
        <v>577</v>
      </c>
      <c r="C2222" t="s">
        <v>40</v>
      </c>
    </row>
    <row r="2223" spans="1:3" x14ac:dyDescent="0.25">
      <c r="A2223" s="71">
        <f t="shared" si="78"/>
        <v>111256</v>
      </c>
      <c r="B2223">
        <f t="shared" ca="1" si="79"/>
        <v>577</v>
      </c>
      <c r="C2223" t="s">
        <v>40</v>
      </c>
    </row>
    <row r="2224" spans="1:3" x14ac:dyDescent="0.25">
      <c r="A2224" s="71">
        <f t="shared" si="78"/>
        <v>111286</v>
      </c>
      <c r="B2224">
        <f t="shared" ca="1" si="79"/>
        <v>577</v>
      </c>
      <c r="C2224" t="s">
        <v>40</v>
      </c>
    </row>
    <row r="2225" spans="1:3" x14ac:dyDescent="0.25">
      <c r="A2225" s="71">
        <f t="shared" si="78"/>
        <v>111316</v>
      </c>
      <c r="B2225">
        <f t="shared" ca="1" si="79"/>
        <v>577</v>
      </c>
      <c r="C2225" t="s">
        <v>40</v>
      </c>
    </row>
    <row r="2226" spans="1:3" x14ac:dyDescent="0.25">
      <c r="A2226" s="71">
        <f t="shared" si="78"/>
        <v>111346</v>
      </c>
      <c r="B2226">
        <f t="shared" ca="1" si="79"/>
        <v>577</v>
      </c>
      <c r="C2226" t="s">
        <v>40</v>
      </c>
    </row>
    <row r="2227" spans="1:3" x14ac:dyDescent="0.25">
      <c r="A2227" s="71">
        <f t="shared" si="78"/>
        <v>111376</v>
      </c>
      <c r="B2227">
        <f t="shared" ca="1" si="79"/>
        <v>577</v>
      </c>
      <c r="C2227" t="s">
        <v>40</v>
      </c>
    </row>
    <row r="2228" spans="1:3" x14ac:dyDescent="0.25">
      <c r="A2228" s="71">
        <f t="shared" si="78"/>
        <v>111406</v>
      </c>
      <c r="B2228">
        <f t="shared" ca="1" si="79"/>
        <v>577</v>
      </c>
      <c r="C2228" t="s">
        <v>40</v>
      </c>
    </row>
    <row r="2229" spans="1:3" x14ac:dyDescent="0.25">
      <c r="A2229" s="71">
        <f t="shared" si="78"/>
        <v>111436</v>
      </c>
      <c r="B2229">
        <f t="shared" ca="1" si="79"/>
        <v>577</v>
      </c>
      <c r="C2229" t="s">
        <v>40</v>
      </c>
    </row>
    <row r="2230" spans="1:3" x14ac:dyDescent="0.25">
      <c r="A2230" s="71">
        <f t="shared" si="78"/>
        <v>111466</v>
      </c>
      <c r="B2230">
        <f t="shared" ca="1" si="79"/>
        <v>577</v>
      </c>
      <c r="C2230" t="s">
        <v>40</v>
      </c>
    </row>
    <row r="2231" spans="1:3" x14ac:dyDescent="0.25">
      <c r="A2231" s="71">
        <f t="shared" si="78"/>
        <v>111496</v>
      </c>
      <c r="B2231">
        <f t="shared" ca="1" si="79"/>
        <v>577</v>
      </c>
      <c r="C2231" t="s">
        <v>40</v>
      </c>
    </row>
    <row r="2232" spans="1:3" x14ac:dyDescent="0.25">
      <c r="A2232" s="71">
        <f t="shared" si="78"/>
        <v>111526</v>
      </c>
      <c r="B2232">
        <f t="shared" ca="1" si="79"/>
        <v>577</v>
      </c>
      <c r="C2232" t="s">
        <v>40</v>
      </c>
    </row>
    <row r="2233" spans="1:3" x14ac:dyDescent="0.25">
      <c r="A2233" s="71">
        <f t="shared" si="78"/>
        <v>111556</v>
      </c>
      <c r="B2233">
        <f t="shared" ca="1" si="79"/>
        <v>577</v>
      </c>
      <c r="C2233" t="s">
        <v>40</v>
      </c>
    </row>
    <row r="2234" spans="1:3" x14ac:dyDescent="0.25">
      <c r="A2234" s="71">
        <f t="shared" si="78"/>
        <v>111586</v>
      </c>
      <c r="B2234">
        <f t="shared" ca="1" si="79"/>
        <v>577</v>
      </c>
      <c r="C2234" t="s">
        <v>40</v>
      </c>
    </row>
    <row r="2235" spans="1:3" x14ac:dyDescent="0.25">
      <c r="A2235" s="71">
        <f t="shared" si="78"/>
        <v>111616</v>
      </c>
      <c r="B2235">
        <f t="shared" ca="1" si="79"/>
        <v>577</v>
      </c>
      <c r="C2235" t="s">
        <v>40</v>
      </c>
    </row>
    <row r="2236" spans="1:3" x14ac:dyDescent="0.25">
      <c r="A2236" s="71">
        <f t="shared" si="78"/>
        <v>111646</v>
      </c>
      <c r="B2236">
        <f t="shared" ca="1" si="79"/>
        <v>577</v>
      </c>
      <c r="C2236" t="s">
        <v>40</v>
      </c>
    </row>
    <row r="2237" spans="1:3" x14ac:dyDescent="0.25">
      <c r="A2237" s="71">
        <f t="shared" si="78"/>
        <v>111676</v>
      </c>
      <c r="B2237">
        <f t="shared" ca="1" si="79"/>
        <v>577</v>
      </c>
      <c r="C2237" t="s">
        <v>40</v>
      </c>
    </row>
    <row r="2238" spans="1:3" x14ac:dyDescent="0.25">
      <c r="A2238" s="71">
        <f t="shared" si="78"/>
        <v>111706</v>
      </c>
      <c r="B2238">
        <f t="shared" ca="1" si="79"/>
        <v>577</v>
      </c>
      <c r="C2238" t="s">
        <v>40</v>
      </c>
    </row>
    <row r="2239" spans="1:3" x14ac:dyDescent="0.25">
      <c r="A2239" s="71">
        <f t="shared" si="78"/>
        <v>111736</v>
      </c>
      <c r="B2239">
        <f t="shared" ca="1" si="79"/>
        <v>577</v>
      </c>
      <c r="C2239" t="s">
        <v>40</v>
      </c>
    </row>
    <row r="2240" spans="1:3" x14ac:dyDescent="0.25">
      <c r="A2240" s="71">
        <f t="shared" si="78"/>
        <v>111766</v>
      </c>
      <c r="B2240">
        <f t="shared" ca="1" si="79"/>
        <v>577</v>
      </c>
      <c r="C2240" t="s">
        <v>40</v>
      </c>
    </row>
    <row r="2241" spans="1:3" x14ac:dyDescent="0.25">
      <c r="A2241" s="71">
        <f t="shared" si="78"/>
        <v>111796</v>
      </c>
      <c r="B2241">
        <f t="shared" ca="1" si="79"/>
        <v>577</v>
      </c>
      <c r="C2241" t="s">
        <v>40</v>
      </c>
    </row>
    <row r="2242" spans="1:3" x14ac:dyDescent="0.25">
      <c r="A2242" s="71">
        <f t="shared" si="78"/>
        <v>111826</v>
      </c>
      <c r="B2242">
        <f t="shared" ca="1" si="79"/>
        <v>577</v>
      </c>
      <c r="C2242" t="s">
        <v>40</v>
      </c>
    </row>
    <row r="2243" spans="1:3" x14ac:dyDescent="0.25">
      <c r="A2243" s="71">
        <f t="shared" si="78"/>
        <v>111856</v>
      </c>
      <c r="B2243">
        <f t="shared" ca="1" si="79"/>
        <v>577</v>
      </c>
      <c r="C2243" t="s">
        <v>40</v>
      </c>
    </row>
    <row r="2244" spans="1:3" x14ac:dyDescent="0.25">
      <c r="A2244" s="71">
        <f t="shared" si="78"/>
        <v>111886</v>
      </c>
      <c r="B2244">
        <f t="shared" ca="1" si="79"/>
        <v>577</v>
      </c>
      <c r="C2244" t="s">
        <v>40</v>
      </c>
    </row>
    <row r="2245" spans="1:3" x14ac:dyDescent="0.25">
      <c r="A2245" s="71">
        <f t="shared" si="78"/>
        <v>111916</v>
      </c>
      <c r="B2245">
        <f t="shared" ca="1" si="79"/>
        <v>577</v>
      </c>
      <c r="C2245" t="s">
        <v>40</v>
      </c>
    </row>
    <row r="2246" spans="1:3" x14ac:dyDescent="0.25">
      <c r="A2246" s="71">
        <f t="shared" si="78"/>
        <v>111946</v>
      </c>
      <c r="B2246">
        <f t="shared" ca="1" si="79"/>
        <v>577</v>
      </c>
      <c r="C2246" t="s">
        <v>40</v>
      </c>
    </row>
    <row r="2247" spans="1:3" x14ac:dyDescent="0.25">
      <c r="A2247" s="71">
        <f t="shared" si="78"/>
        <v>111976</v>
      </c>
      <c r="B2247">
        <f t="shared" ca="1" si="79"/>
        <v>577</v>
      </c>
      <c r="C2247" t="s">
        <v>40</v>
      </c>
    </row>
    <row r="2248" spans="1:3" x14ac:dyDescent="0.25">
      <c r="A2248" s="71">
        <f t="shared" si="78"/>
        <v>112006</v>
      </c>
      <c r="B2248">
        <f t="shared" ca="1" si="79"/>
        <v>577</v>
      </c>
      <c r="C2248" t="s">
        <v>40</v>
      </c>
    </row>
    <row r="2249" spans="1:3" x14ac:dyDescent="0.25">
      <c r="A2249" s="71">
        <f t="shared" si="78"/>
        <v>112036</v>
      </c>
      <c r="B2249">
        <f t="shared" ca="1" si="79"/>
        <v>577</v>
      </c>
      <c r="C2249" t="s">
        <v>40</v>
      </c>
    </row>
    <row r="2250" spans="1:3" x14ac:dyDescent="0.25">
      <c r="A2250" s="71">
        <f t="shared" si="78"/>
        <v>112066</v>
      </c>
      <c r="B2250">
        <f t="shared" ca="1" si="79"/>
        <v>577</v>
      </c>
      <c r="C2250" t="s">
        <v>40</v>
      </c>
    </row>
    <row r="2251" spans="1:3" x14ac:dyDescent="0.25">
      <c r="A2251" s="71">
        <f t="shared" si="78"/>
        <v>112096</v>
      </c>
      <c r="B2251">
        <f t="shared" ca="1" si="79"/>
        <v>577</v>
      </c>
      <c r="C2251" t="s">
        <v>40</v>
      </c>
    </row>
    <row r="2252" spans="1:3" x14ac:dyDescent="0.25">
      <c r="A2252" s="71">
        <f t="shared" ref="A2252:A2315" si="80">A2251+30</f>
        <v>112126</v>
      </c>
      <c r="B2252">
        <f t="shared" ref="B2252:B2315" ca="1" si="81">B2251</f>
        <v>577</v>
      </c>
      <c r="C2252" t="s">
        <v>40</v>
      </c>
    </row>
    <row r="2253" spans="1:3" x14ac:dyDescent="0.25">
      <c r="A2253" s="71">
        <f t="shared" si="80"/>
        <v>112156</v>
      </c>
      <c r="B2253">
        <f t="shared" ca="1" si="81"/>
        <v>577</v>
      </c>
      <c r="C2253" t="s">
        <v>40</v>
      </c>
    </row>
    <row r="2254" spans="1:3" x14ac:dyDescent="0.25">
      <c r="A2254" s="71">
        <f t="shared" si="80"/>
        <v>112186</v>
      </c>
      <c r="B2254">
        <f t="shared" ca="1" si="81"/>
        <v>577</v>
      </c>
      <c r="C2254" t="s">
        <v>40</v>
      </c>
    </row>
    <row r="2255" spans="1:3" x14ac:dyDescent="0.25">
      <c r="A2255" s="71">
        <f t="shared" si="80"/>
        <v>112216</v>
      </c>
      <c r="B2255">
        <f t="shared" ca="1" si="81"/>
        <v>577</v>
      </c>
      <c r="C2255" t="s">
        <v>40</v>
      </c>
    </row>
    <row r="2256" spans="1:3" x14ac:dyDescent="0.25">
      <c r="A2256" s="71">
        <f t="shared" si="80"/>
        <v>112246</v>
      </c>
      <c r="B2256">
        <f t="shared" ca="1" si="81"/>
        <v>577</v>
      </c>
      <c r="C2256" t="s">
        <v>40</v>
      </c>
    </row>
    <row r="2257" spans="1:3" x14ac:dyDescent="0.25">
      <c r="A2257" s="71">
        <f t="shared" si="80"/>
        <v>112276</v>
      </c>
      <c r="B2257">
        <f t="shared" ca="1" si="81"/>
        <v>577</v>
      </c>
      <c r="C2257" t="s">
        <v>40</v>
      </c>
    </row>
    <row r="2258" spans="1:3" x14ac:dyDescent="0.25">
      <c r="A2258" s="71">
        <f t="shared" si="80"/>
        <v>112306</v>
      </c>
      <c r="B2258">
        <f t="shared" ca="1" si="81"/>
        <v>577</v>
      </c>
      <c r="C2258" t="s">
        <v>40</v>
      </c>
    </row>
    <row r="2259" spans="1:3" x14ac:dyDescent="0.25">
      <c r="A2259" s="71">
        <f t="shared" si="80"/>
        <v>112336</v>
      </c>
      <c r="B2259">
        <f t="shared" ca="1" si="81"/>
        <v>577</v>
      </c>
      <c r="C2259" t="s">
        <v>40</v>
      </c>
    </row>
    <row r="2260" spans="1:3" x14ac:dyDescent="0.25">
      <c r="A2260" s="71">
        <f t="shared" si="80"/>
        <v>112366</v>
      </c>
      <c r="B2260">
        <f t="shared" ca="1" si="81"/>
        <v>577</v>
      </c>
      <c r="C2260" t="s">
        <v>40</v>
      </c>
    </row>
    <row r="2261" spans="1:3" x14ac:dyDescent="0.25">
      <c r="A2261" s="71">
        <f t="shared" si="80"/>
        <v>112396</v>
      </c>
      <c r="B2261">
        <f t="shared" ca="1" si="81"/>
        <v>577</v>
      </c>
      <c r="C2261" t="s">
        <v>40</v>
      </c>
    </row>
    <row r="2262" spans="1:3" x14ac:dyDescent="0.25">
      <c r="A2262" s="71">
        <f t="shared" si="80"/>
        <v>112426</v>
      </c>
      <c r="B2262">
        <f t="shared" ca="1" si="81"/>
        <v>577</v>
      </c>
      <c r="C2262" t="s">
        <v>40</v>
      </c>
    </row>
    <row r="2263" spans="1:3" x14ac:dyDescent="0.25">
      <c r="A2263" s="71">
        <f t="shared" si="80"/>
        <v>112456</v>
      </c>
      <c r="B2263">
        <f t="shared" ca="1" si="81"/>
        <v>577</v>
      </c>
      <c r="C2263" t="s">
        <v>40</v>
      </c>
    </row>
    <row r="2264" spans="1:3" x14ac:dyDescent="0.25">
      <c r="A2264" s="71">
        <f t="shared" si="80"/>
        <v>112486</v>
      </c>
      <c r="B2264">
        <f t="shared" ca="1" si="81"/>
        <v>577</v>
      </c>
      <c r="C2264" t="s">
        <v>40</v>
      </c>
    </row>
    <row r="2265" spans="1:3" x14ac:dyDescent="0.25">
      <c r="A2265" s="71">
        <f t="shared" si="80"/>
        <v>112516</v>
      </c>
      <c r="B2265">
        <f t="shared" ca="1" si="81"/>
        <v>577</v>
      </c>
      <c r="C2265" t="s">
        <v>40</v>
      </c>
    </row>
    <row r="2266" spans="1:3" x14ac:dyDescent="0.25">
      <c r="A2266" s="71">
        <f t="shared" si="80"/>
        <v>112546</v>
      </c>
      <c r="B2266">
        <f t="shared" ca="1" si="81"/>
        <v>577</v>
      </c>
      <c r="C2266" t="s">
        <v>40</v>
      </c>
    </row>
    <row r="2267" spans="1:3" x14ac:dyDescent="0.25">
      <c r="A2267" s="71">
        <f t="shared" si="80"/>
        <v>112576</v>
      </c>
      <c r="B2267">
        <f t="shared" ca="1" si="81"/>
        <v>577</v>
      </c>
      <c r="C2267" t="s">
        <v>40</v>
      </c>
    </row>
    <row r="2268" spans="1:3" x14ac:dyDescent="0.25">
      <c r="A2268" s="71">
        <f t="shared" si="80"/>
        <v>112606</v>
      </c>
      <c r="B2268">
        <f t="shared" ca="1" si="81"/>
        <v>577</v>
      </c>
      <c r="C2268" t="s">
        <v>40</v>
      </c>
    </row>
    <row r="2269" spans="1:3" x14ac:dyDescent="0.25">
      <c r="A2269" s="71">
        <f t="shared" si="80"/>
        <v>112636</v>
      </c>
      <c r="B2269">
        <f t="shared" ca="1" si="81"/>
        <v>577</v>
      </c>
      <c r="C2269" t="s">
        <v>40</v>
      </c>
    </row>
    <row r="2270" spans="1:3" x14ac:dyDescent="0.25">
      <c r="A2270" s="71">
        <f t="shared" si="80"/>
        <v>112666</v>
      </c>
      <c r="B2270">
        <f t="shared" ca="1" si="81"/>
        <v>577</v>
      </c>
      <c r="C2270" t="s">
        <v>40</v>
      </c>
    </row>
    <row r="2271" spans="1:3" x14ac:dyDescent="0.25">
      <c r="A2271" s="71">
        <f t="shared" si="80"/>
        <v>112696</v>
      </c>
      <c r="B2271">
        <f t="shared" ca="1" si="81"/>
        <v>577</v>
      </c>
      <c r="C2271" t="s">
        <v>40</v>
      </c>
    </row>
    <row r="2272" spans="1:3" x14ac:dyDescent="0.25">
      <c r="A2272" s="71">
        <f t="shared" si="80"/>
        <v>112726</v>
      </c>
      <c r="B2272">
        <f t="shared" ca="1" si="81"/>
        <v>577</v>
      </c>
      <c r="C2272" t="s">
        <v>40</v>
      </c>
    </row>
    <row r="2273" spans="1:3" x14ac:dyDescent="0.25">
      <c r="A2273" s="71">
        <f t="shared" si="80"/>
        <v>112756</v>
      </c>
      <c r="B2273">
        <f t="shared" ca="1" si="81"/>
        <v>577</v>
      </c>
      <c r="C2273" t="s">
        <v>40</v>
      </c>
    </row>
    <row r="2274" spans="1:3" x14ac:dyDescent="0.25">
      <c r="A2274" s="71">
        <f t="shared" si="80"/>
        <v>112786</v>
      </c>
      <c r="B2274">
        <f t="shared" ca="1" si="81"/>
        <v>577</v>
      </c>
      <c r="C2274" t="s">
        <v>40</v>
      </c>
    </row>
    <row r="2275" spans="1:3" x14ac:dyDescent="0.25">
      <c r="A2275" s="71">
        <f t="shared" si="80"/>
        <v>112816</v>
      </c>
      <c r="B2275">
        <f t="shared" ca="1" si="81"/>
        <v>577</v>
      </c>
      <c r="C2275" t="s">
        <v>40</v>
      </c>
    </row>
    <row r="2276" spans="1:3" x14ac:dyDescent="0.25">
      <c r="A2276" s="71">
        <f t="shared" si="80"/>
        <v>112846</v>
      </c>
      <c r="B2276">
        <f t="shared" ca="1" si="81"/>
        <v>577</v>
      </c>
      <c r="C2276" t="s">
        <v>40</v>
      </c>
    </row>
    <row r="2277" spans="1:3" x14ac:dyDescent="0.25">
      <c r="A2277" s="71">
        <f t="shared" si="80"/>
        <v>112876</v>
      </c>
      <c r="B2277">
        <f t="shared" ca="1" si="81"/>
        <v>577</v>
      </c>
      <c r="C2277" t="s">
        <v>40</v>
      </c>
    </row>
    <row r="2278" spans="1:3" x14ac:dyDescent="0.25">
      <c r="A2278" s="71">
        <f t="shared" si="80"/>
        <v>112906</v>
      </c>
      <c r="B2278">
        <f t="shared" ca="1" si="81"/>
        <v>577</v>
      </c>
      <c r="C2278" t="s">
        <v>40</v>
      </c>
    </row>
    <row r="2279" spans="1:3" x14ac:dyDescent="0.25">
      <c r="A2279" s="71">
        <f t="shared" si="80"/>
        <v>112936</v>
      </c>
      <c r="B2279">
        <f t="shared" ca="1" si="81"/>
        <v>577</v>
      </c>
      <c r="C2279" t="s">
        <v>40</v>
      </c>
    </row>
    <row r="2280" spans="1:3" x14ac:dyDescent="0.25">
      <c r="A2280" s="71">
        <f t="shared" si="80"/>
        <v>112966</v>
      </c>
      <c r="B2280">
        <f t="shared" ca="1" si="81"/>
        <v>577</v>
      </c>
      <c r="C2280" t="s">
        <v>40</v>
      </c>
    </row>
    <row r="2281" spans="1:3" x14ac:dyDescent="0.25">
      <c r="A2281" s="71">
        <f t="shared" si="80"/>
        <v>112996</v>
      </c>
      <c r="B2281">
        <f t="shared" ca="1" si="81"/>
        <v>577</v>
      </c>
      <c r="C2281" t="s">
        <v>40</v>
      </c>
    </row>
    <row r="2282" spans="1:3" x14ac:dyDescent="0.25">
      <c r="A2282" s="71">
        <f t="shared" si="80"/>
        <v>113026</v>
      </c>
      <c r="B2282">
        <f t="shared" ca="1" si="81"/>
        <v>577</v>
      </c>
      <c r="C2282" t="s">
        <v>40</v>
      </c>
    </row>
    <row r="2283" spans="1:3" x14ac:dyDescent="0.25">
      <c r="A2283" s="71">
        <f t="shared" si="80"/>
        <v>113056</v>
      </c>
      <c r="B2283">
        <f t="shared" ca="1" si="81"/>
        <v>577</v>
      </c>
      <c r="C2283" t="s">
        <v>40</v>
      </c>
    </row>
    <row r="2284" spans="1:3" x14ac:dyDescent="0.25">
      <c r="A2284" s="71">
        <f t="shared" si="80"/>
        <v>113086</v>
      </c>
      <c r="B2284">
        <f t="shared" ca="1" si="81"/>
        <v>577</v>
      </c>
      <c r="C2284" t="s">
        <v>40</v>
      </c>
    </row>
    <row r="2285" spans="1:3" x14ac:dyDescent="0.25">
      <c r="A2285" s="71">
        <f t="shared" si="80"/>
        <v>113116</v>
      </c>
      <c r="B2285">
        <f t="shared" ca="1" si="81"/>
        <v>577</v>
      </c>
      <c r="C2285" t="s">
        <v>40</v>
      </c>
    </row>
    <row r="2286" spans="1:3" x14ac:dyDescent="0.25">
      <c r="A2286" s="71">
        <f t="shared" si="80"/>
        <v>113146</v>
      </c>
      <c r="B2286">
        <f t="shared" ca="1" si="81"/>
        <v>577</v>
      </c>
      <c r="C2286" t="s">
        <v>40</v>
      </c>
    </row>
    <row r="2287" spans="1:3" x14ac:dyDescent="0.25">
      <c r="A2287" s="71">
        <f t="shared" si="80"/>
        <v>113176</v>
      </c>
      <c r="B2287">
        <f t="shared" ca="1" si="81"/>
        <v>577</v>
      </c>
      <c r="C2287" t="s">
        <v>40</v>
      </c>
    </row>
    <row r="2288" spans="1:3" x14ac:dyDescent="0.25">
      <c r="A2288" s="71">
        <f t="shared" si="80"/>
        <v>113206</v>
      </c>
      <c r="B2288">
        <f t="shared" ca="1" si="81"/>
        <v>577</v>
      </c>
      <c r="C2288" t="s">
        <v>40</v>
      </c>
    </row>
    <row r="2289" spans="1:3" x14ac:dyDescent="0.25">
      <c r="A2289" s="71">
        <f t="shared" si="80"/>
        <v>113236</v>
      </c>
      <c r="B2289">
        <f t="shared" ca="1" si="81"/>
        <v>577</v>
      </c>
      <c r="C2289" t="s">
        <v>40</v>
      </c>
    </row>
    <row r="2290" spans="1:3" x14ac:dyDescent="0.25">
      <c r="A2290" s="71">
        <f t="shared" si="80"/>
        <v>113266</v>
      </c>
      <c r="B2290">
        <f t="shared" ca="1" si="81"/>
        <v>577</v>
      </c>
      <c r="C2290" t="s">
        <v>40</v>
      </c>
    </row>
    <row r="2291" spans="1:3" x14ac:dyDescent="0.25">
      <c r="A2291" s="71">
        <f t="shared" si="80"/>
        <v>113296</v>
      </c>
      <c r="B2291">
        <f t="shared" ca="1" si="81"/>
        <v>577</v>
      </c>
      <c r="C2291" t="s">
        <v>40</v>
      </c>
    </row>
    <row r="2292" spans="1:3" x14ac:dyDescent="0.25">
      <c r="A2292" s="71">
        <f t="shared" si="80"/>
        <v>113326</v>
      </c>
      <c r="B2292">
        <f t="shared" ca="1" si="81"/>
        <v>577</v>
      </c>
      <c r="C2292" t="s">
        <v>40</v>
      </c>
    </row>
    <row r="2293" spans="1:3" x14ac:dyDescent="0.25">
      <c r="A2293" s="71">
        <f t="shared" si="80"/>
        <v>113356</v>
      </c>
      <c r="B2293">
        <f t="shared" ca="1" si="81"/>
        <v>577</v>
      </c>
      <c r="C2293" t="s">
        <v>40</v>
      </c>
    </row>
    <row r="2294" spans="1:3" x14ac:dyDescent="0.25">
      <c r="A2294" s="71">
        <f t="shared" si="80"/>
        <v>113386</v>
      </c>
      <c r="B2294">
        <f t="shared" ca="1" si="81"/>
        <v>577</v>
      </c>
      <c r="C2294" t="s">
        <v>40</v>
      </c>
    </row>
    <row r="2295" spans="1:3" x14ac:dyDescent="0.25">
      <c r="A2295" s="71">
        <f t="shared" si="80"/>
        <v>113416</v>
      </c>
      <c r="B2295">
        <f t="shared" ca="1" si="81"/>
        <v>577</v>
      </c>
      <c r="C2295" t="s">
        <v>40</v>
      </c>
    </row>
    <row r="2296" spans="1:3" x14ac:dyDescent="0.25">
      <c r="A2296" s="71">
        <f t="shared" si="80"/>
        <v>113446</v>
      </c>
      <c r="B2296">
        <f t="shared" ca="1" si="81"/>
        <v>577</v>
      </c>
      <c r="C2296" t="s">
        <v>40</v>
      </c>
    </row>
    <row r="2297" spans="1:3" x14ac:dyDescent="0.25">
      <c r="A2297" s="71">
        <f t="shared" si="80"/>
        <v>113476</v>
      </c>
      <c r="B2297">
        <f t="shared" ca="1" si="81"/>
        <v>577</v>
      </c>
      <c r="C2297" t="s">
        <v>40</v>
      </c>
    </row>
    <row r="2298" spans="1:3" x14ac:dyDescent="0.25">
      <c r="A2298" s="71">
        <f t="shared" si="80"/>
        <v>113506</v>
      </c>
      <c r="B2298">
        <f t="shared" ca="1" si="81"/>
        <v>577</v>
      </c>
      <c r="C2298" t="s">
        <v>40</v>
      </c>
    </row>
    <row r="2299" spans="1:3" x14ac:dyDescent="0.25">
      <c r="A2299" s="71">
        <f t="shared" si="80"/>
        <v>113536</v>
      </c>
      <c r="B2299">
        <f t="shared" ca="1" si="81"/>
        <v>577</v>
      </c>
      <c r="C2299" t="s">
        <v>40</v>
      </c>
    </row>
    <row r="2300" spans="1:3" x14ac:dyDescent="0.25">
      <c r="A2300" s="71">
        <f t="shared" si="80"/>
        <v>113566</v>
      </c>
      <c r="B2300">
        <f t="shared" ca="1" si="81"/>
        <v>577</v>
      </c>
      <c r="C2300" t="s">
        <v>40</v>
      </c>
    </row>
    <row r="2301" spans="1:3" x14ac:dyDescent="0.25">
      <c r="A2301" s="71">
        <f t="shared" si="80"/>
        <v>113596</v>
      </c>
      <c r="B2301">
        <f t="shared" ca="1" si="81"/>
        <v>577</v>
      </c>
      <c r="C2301" t="s">
        <v>40</v>
      </c>
    </row>
    <row r="2302" spans="1:3" x14ac:dyDescent="0.25">
      <c r="A2302" s="71">
        <f t="shared" si="80"/>
        <v>113626</v>
      </c>
      <c r="B2302">
        <f t="shared" ca="1" si="81"/>
        <v>577</v>
      </c>
      <c r="C2302" t="s">
        <v>40</v>
      </c>
    </row>
    <row r="2303" spans="1:3" x14ac:dyDescent="0.25">
      <c r="A2303" s="71">
        <f t="shared" si="80"/>
        <v>113656</v>
      </c>
      <c r="B2303">
        <f t="shared" ca="1" si="81"/>
        <v>577</v>
      </c>
      <c r="C2303" t="s">
        <v>40</v>
      </c>
    </row>
    <row r="2304" spans="1:3" x14ac:dyDescent="0.25">
      <c r="A2304" s="71">
        <f t="shared" si="80"/>
        <v>113686</v>
      </c>
      <c r="B2304">
        <f t="shared" ca="1" si="81"/>
        <v>577</v>
      </c>
      <c r="C2304" t="s">
        <v>40</v>
      </c>
    </row>
    <row r="2305" spans="1:3" x14ac:dyDescent="0.25">
      <c r="A2305" s="71">
        <f t="shared" si="80"/>
        <v>113716</v>
      </c>
      <c r="B2305">
        <f t="shared" ca="1" si="81"/>
        <v>577</v>
      </c>
      <c r="C2305" t="s">
        <v>40</v>
      </c>
    </row>
    <row r="2306" spans="1:3" x14ac:dyDescent="0.25">
      <c r="A2306" s="71">
        <f t="shared" si="80"/>
        <v>113746</v>
      </c>
      <c r="B2306">
        <f t="shared" ca="1" si="81"/>
        <v>577</v>
      </c>
      <c r="C2306" t="s">
        <v>40</v>
      </c>
    </row>
    <row r="2307" spans="1:3" x14ac:dyDescent="0.25">
      <c r="A2307" s="71">
        <f t="shared" si="80"/>
        <v>113776</v>
      </c>
      <c r="B2307">
        <f t="shared" ca="1" si="81"/>
        <v>577</v>
      </c>
      <c r="C2307" t="s">
        <v>40</v>
      </c>
    </row>
    <row r="2308" spans="1:3" x14ac:dyDescent="0.25">
      <c r="A2308" s="71">
        <f t="shared" si="80"/>
        <v>113806</v>
      </c>
      <c r="B2308">
        <f t="shared" ca="1" si="81"/>
        <v>577</v>
      </c>
      <c r="C2308" t="s">
        <v>40</v>
      </c>
    </row>
    <row r="2309" spans="1:3" x14ac:dyDescent="0.25">
      <c r="A2309" s="71">
        <f t="shared" si="80"/>
        <v>113836</v>
      </c>
      <c r="B2309">
        <f t="shared" ca="1" si="81"/>
        <v>577</v>
      </c>
      <c r="C2309" t="s">
        <v>40</v>
      </c>
    </row>
    <row r="2310" spans="1:3" x14ac:dyDescent="0.25">
      <c r="A2310" s="71">
        <f t="shared" si="80"/>
        <v>113866</v>
      </c>
      <c r="B2310">
        <f t="shared" ca="1" si="81"/>
        <v>577</v>
      </c>
      <c r="C2310" t="s">
        <v>40</v>
      </c>
    </row>
    <row r="2311" spans="1:3" x14ac:dyDescent="0.25">
      <c r="A2311" s="71">
        <f t="shared" si="80"/>
        <v>113896</v>
      </c>
      <c r="B2311">
        <f t="shared" ca="1" si="81"/>
        <v>577</v>
      </c>
      <c r="C2311" t="s">
        <v>40</v>
      </c>
    </row>
    <row r="2312" spans="1:3" x14ac:dyDescent="0.25">
      <c r="A2312" s="71">
        <f t="shared" si="80"/>
        <v>113926</v>
      </c>
      <c r="B2312">
        <f t="shared" ca="1" si="81"/>
        <v>577</v>
      </c>
      <c r="C2312" t="s">
        <v>40</v>
      </c>
    </row>
    <row r="2313" spans="1:3" x14ac:dyDescent="0.25">
      <c r="A2313" s="71">
        <f t="shared" si="80"/>
        <v>113956</v>
      </c>
      <c r="B2313">
        <f t="shared" ca="1" si="81"/>
        <v>577</v>
      </c>
      <c r="C2313" t="s">
        <v>40</v>
      </c>
    </row>
    <row r="2314" spans="1:3" x14ac:dyDescent="0.25">
      <c r="A2314" s="71">
        <f t="shared" si="80"/>
        <v>113986</v>
      </c>
      <c r="B2314">
        <f t="shared" ca="1" si="81"/>
        <v>577</v>
      </c>
      <c r="C2314" t="s">
        <v>40</v>
      </c>
    </row>
    <row r="2315" spans="1:3" x14ac:dyDescent="0.25">
      <c r="A2315" s="71">
        <f t="shared" si="80"/>
        <v>114016</v>
      </c>
      <c r="B2315">
        <f t="shared" ca="1" si="81"/>
        <v>577</v>
      </c>
      <c r="C2315" t="s">
        <v>40</v>
      </c>
    </row>
    <row r="2316" spans="1:3" x14ac:dyDescent="0.25">
      <c r="A2316" s="71">
        <f t="shared" ref="A2316:A2379" si="82">A2315+30</f>
        <v>114046</v>
      </c>
      <c r="B2316">
        <f t="shared" ref="B2316:B2379" ca="1" si="83">B2315</f>
        <v>577</v>
      </c>
      <c r="C2316" t="s">
        <v>40</v>
      </c>
    </row>
    <row r="2317" spans="1:3" x14ac:dyDescent="0.25">
      <c r="A2317" s="71">
        <f t="shared" si="82"/>
        <v>114076</v>
      </c>
      <c r="B2317">
        <f t="shared" ca="1" si="83"/>
        <v>577</v>
      </c>
      <c r="C2317" t="s">
        <v>40</v>
      </c>
    </row>
    <row r="2318" spans="1:3" x14ac:dyDescent="0.25">
      <c r="A2318" s="71">
        <f t="shared" si="82"/>
        <v>114106</v>
      </c>
      <c r="B2318">
        <f t="shared" ca="1" si="83"/>
        <v>577</v>
      </c>
      <c r="C2318" t="s">
        <v>40</v>
      </c>
    </row>
    <row r="2319" spans="1:3" x14ac:dyDescent="0.25">
      <c r="A2319" s="71">
        <f t="shared" si="82"/>
        <v>114136</v>
      </c>
      <c r="B2319">
        <f t="shared" ca="1" si="83"/>
        <v>577</v>
      </c>
      <c r="C2319" t="s">
        <v>40</v>
      </c>
    </row>
    <row r="2320" spans="1:3" x14ac:dyDescent="0.25">
      <c r="A2320" s="71">
        <f t="shared" si="82"/>
        <v>114166</v>
      </c>
      <c r="B2320">
        <f t="shared" ca="1" si="83"/>
        <v>577</v>
      </c>
      <c r="C2320" t="s">
        <v>40</v>
      </c>
    </row>
    <row r="2321" spans="1:3" x14ac:dyDescent="0.25">
      <c r="A2321" s="71">
        <f t="shared" si="82"/>
        <v>114196</v>
      </c>
      <c r="B2321">
        <f t="shared" ca="1" si="83"/>
        <v>577</v>
      </c>
      <c r="C2321" t="s">
        <v>40</v>
      </c>
    </row>
    <row r="2322" spans="1:3" x14ac:dyDescent="0.25">
      <c r="A2322" s="71">
        <f t="shared" si="82"/>
        <v>114226</v>
      </c>
      <c r="B2322">
        <f t="shared" ca="1" si="83"/>
        <v>577</v>
      </c>
      <c r="C2322" t="s">
        <v>40</v>
      </c>
    </row>
    <row r="2323" spans="1:3" x14ac:dyDescent="0.25">
      <c r="A2323" s="71">
        <f t="shared" si="82"/>
        <v>114256</v>
      </c>
      <c r="B2323">
        <f t="shared" ca="1" si="83"/>
        <v>577</v>
      </c>
      <c r="C2323" t="s">
        <v>40</v>
      </c>
    </row>
    <row r="2324" spans="1:3" x14ac:dyDescent="0.25">
      <c r="A2324" s="71">
        <f t="shared" si="82"/>
        <v>114286</v>
      </c>
      <c r="B2324">
        <f t="shared" ca="1" si="83"/>
        <v>577</v>
      </c>
      <c r="C2324" t="s">
        <v>40</v>
      </c>
    </row>
    <row r="2325" spans="1:3" x14ac:dyDescent="0.25">
      <c r="A2325" s="71">
        <f t="shared" si="82"/>
        <v>114316</v>
      </c>
      <c r="B2325">
        <f t="shared" ca="1" si="83"/>
        <v>577</v>
      </c>
      <c r="C2325" t="s">
        <v>40</v>
      </c>
    </row>
    <row r="2326" spans="1:3" x14ac:dyDescent="0.25">
      <c r="A2326" s="71">
        <f t="shared" si="82"/>
        <v>114346</v>
      </c>
      <c r="B2326">
        <f t="shared" ca="1" si="83"/>
        <v>577</v>
      </c>
      <c r="C2326" t="s">
        <v>40</v>
      </c>
    </row>
    <row r="2327" spans="1:3" x14ac:dyDescent="0.25">
      <c r="A2327" s="71">
        <f t="shared" si="82"/>
        <v>114376</v>
      </c>
      <c r="B2327">
        <f t="shared" ca="1" si="83"/>
        <v>577</v>
      </c>
      <c r="C2327" t="s">
        <v>40</v>
      </c>
    </row>
    <row r="2328" spans="1:3" x14ac:dyDescent="0.25">
      <c r="A2328" s="71">
        <f t="shared" si="82"/>
        <v>114406</v>
      </c>
      <c r="B2328">
        <f t="shared" ca="1" si="83"/>
        <v>577</v>
      </c>
      <c r="C2328" t="s">
        <v>40</v>
      </c>
    </row>
    <row r="2329" spans="1:3" x14ac:dyDescent="0.25">
      <c r="A2329" s="71">
        <f t="shared" si="82"/>
        <v>114436</v>
      </c>
      <c r="B2329">
        <f t="shared" ca="1" si="83"/>
        <v>577</v>
      </c>
      <c r="C2329" t="s">
        <v>40</v>
      </c>
    </row>
    <row r="2330" spans="1:3" x14ac:dyDescent="0.25">
      <c r="A2330" s="71">
        <f t="shared" si="82"/>
        <v>114466</v>
      </c>
      <c r="B2330">
        <f t="shared" ca="1" si="83"/>
        <v>577</v>
      </c>
      <c r="C2330" t="s">
        <v>40</v>
      </c>
    </row>
    <row r="2331" spans="1:3" x14ac:dyDescent="0.25">
      <c r="A2331" s="71">
        <f t="shared" si="82"/>
        <v>114496</v>
      </c>
      <c r="B2331">
        <f t="shared" ca="1" si="83"/>
        <v>577</v>
      </c>
      <c r="C2331" t="s">
        <v>40</v>
      </c>
    </row>
    <row r="2332" spans="1:3" x14ac:dyDescent="0.25">
      <c r="A2332" s="71">
        <f t="shared" si="82"/>
        <v>114526</v>
      </c>
      <c r="B2332">
        <f t="shared" ca="1" si="83"/>
        <v>577</v>
      </c>
      <c r="C2332" t="s">
        <v>40</v>
      </c>
    </row>
    <row r="2333" spans="1:3" x14ac:dyDescent="0.25">
      <c r="A2333" s="71">
        <f t="shared" si="82"/>
        <v>114556</v>
      </c>
      <c r="B2333">
        <f t="shared" ca="1" si="83"/>
        <v>577</v>
      </c>
      <c r="C2333" t="s">
        <v>40</v>
      </c>
    </row>
    <row r="2334" spans="1:3" x14ac:dyDescent="0.25">
      <c r="A2334" s="71">
        <f t="shared" si="82"/>
        <v>114586</v>
      </c>
      <c r="B2334">
        <f t="shared" ca="1" si="83"/>
        <v>577</v>
      </c>
      <c r="C2334" t="s">
        <v>40</v>
      </c>
    </row>
    <row r="2335" spans="1:3" x14ac:dyDescent="0.25">
      <c r="A2335" s="71">
        <f t="shared" si="82"/>
        <v>114616</v>
      </c>
      <c r="B2335">
        <f t="shared" ca="1" si="83"/>
        <v>577</v>
      </c>
      <c r="C2335" t="s">
        <v>40</v>
      </c>
    </row>
    <row r="2336" spans="1:3" x14ac:dyDescent="0.25">
      <c r="A2336" s="71">
        <f t="shared" si="82"/>
        <v>114646</v>
      </c>
      <c r="B2336">
        <f t="shared" ca="1" si="83"/>
        <v>577</v>
      </c>
      <c r="C2336" t="s">
        <v>40</v>
      </c>
    </row>
    <row r="2337" spans="1:3" x14ac:dyDescent="0.25">
      <c r="A2337" s="71">
        <f t="shared" si="82"/>
        <v>114676</v>
      </c>
      <c r="B2337">
        <f t="shared" ca="1" si="83"/>
        <v>577</v>
      </c>
      <c r="C2337" t="s">
        <v>40</v>
      </c>
    </row>
    <row r="2338" spans="1:3" x14ac:dyDescent="0.25">
      <c r="A2338" s="71">
        <f t="shared" si="82"/>
        <v>114706</v>
      </c>
      <c r="B2338">
        <f t="shared" ca="1" si="83"/>
        <v>577</v>
      </c>
      <c r="C2338" t="s">
        <v>40</v>
      </c>
    </row>
    <row r="2339" spans="1:3" x14ac:dyDescent="0.25">
      <c r="A2339" s="71">
        <f t="shared" si="82"/>
        <v>114736</v>
      </c>
      <c r="B2339">
        <f t="shared" ca="1" si="83"/>
        <v>577</v>
      </c>
      <c r="C2339" t="s">
        <v>40</v>
      </c>
    </row>
    <row r="2340" spans="1:3" x14ac:dyDescent="0.25">
      <c r="A2340" s="71">
        <f t="shared" si="82"/>
        <v>114766</v>
      </c>
      <c r="B2340">
        <f t="shared" ca="1" si="83"/>
        <v>577</v>
      </c>
      <c r="C2340" t="s">
        <v>40</v>
      </c>
    </row>
    <row r="2341" spans="1:3" x14ac:dyDescent="0.25">
      <c r="A2341" s="71">
        <f t="shared" si="82"/>
        <v>114796</v>
      </c>
      <c r="B2341">
        <f t="shared" ca="1" si="83"/>
        <v>577</v>
      </c>
      <c r="C2341" t="s">
        <v>40</v>
      </c>
    </row>
    <row r="2342" spans="1:3" x14ac:dyDescent="0.25">
      <c r="A2342" s="71">
        <f t="shared" si="82"/>
        <v>114826</v>
      </c>
      <c r="B2342">
        <f t="shared" ca="1" si="83"/>
        <v>577</v>
      </c>
      <c r="C2342" t="s">
        <v>40</v>
      </c>
    </row>
    <row r="2343" spans="1:3" x14ac:dyDescent="0.25">
      <c r="A2343" s="71">
        <f t="shared" si="82"/>
        <v>114856</v>
      </c>
      <c r="B2343">
        <f t="shared" ca="1" si="83"/>
        <v>577</v>
      </c>
      <c r="C2343" t="s">
        <v>40</v>
      </c>
    </row>
    <row r="2344" spans="1:3" x14ac:dyDescent="0.25">
      <c r="A2344" s="71">
        <f t="shared" si="82"/>
        <v>114886</v>
      </c>
      <c r="B2344">
        <f t="shared" ca="1" si="83"/>
        <v>577</v>
      </c>
      <c r="C2344" t="s">
        <v>40</v>
      </c>
    </row>
    <row r="2345" spans="1:3" x14ac:dyDescent="0.25">
      <c r="A2345" s="71">
        <f t="shared" si="82"/>
        <v>114916</v>
      </c>
      <c r="B2345">
        <f t="shared" ca="1" si="83"/>
        <v>577</v>
      </c>
      <c r="C2345" t="s">
        <v>40</v>
      </c>
    </row>
    <row r="2346" spans="1:3" x14ac:dyDescent="0.25">
      <c r="A2346" s="71">
        <f t="shared" si="82"/>
        <v>114946</v>
      </c>
      <c r="B2346">
        <f t="shared" ca="1" si="83"/>
        <v>577</v>
      </c>
      <c r="C2346" t="s">
        <v>40</v>
      </c>
    </row>
    <row r="2347" spans="1:3" x14ac:dyDescent="0.25">
      <c r="A2347" s="71">
        <f t="shared" si="82"/>
        <v>114976</v>
      </c>
      <c r="B2347">
        <f t="shared" ca="1" si="83"/>
        <v>577</v>
      </c>
      <c r="C2347" t="s">
        <v>40</v>
      </c>
    </row>
    <row r="2348" spans="1:3" x14ac:dyDescent="0.25">
      <c r="A2348" s="71">
        <f t="shared" si="82"/>
        <v>115006</v>
      </c>
      <c r="B2348">
        <f t="shared" ca="1" si="83"/>
        <v>577</v>
      </c>
      <c r="C2348" t="s">
        <v>40</v>
      </c>
    </row>
    <row r="2349" spans="1:3" x14ac:dyDescent="0.25">
      <c r="A2349" s="71">
        <f t="shared" si="82"/>
        <v>115036</v>
      </c>
      <c r="B2349">
        <f t="shared" ca="1" si="83"/>
        <v>577</v>
      </c>
      <c r="C2349" t="s">
        <v>40</v>
      </c>
    </row>
    <row r="2350" spans="1:3" x14ac:dyDescent="0.25">
      <c r="A2350" s="71">
        <f t="shared" si="82"/>
        <v>115066</v>
      </c>
      <c r="B2350">
        <f t="shared" ca="1" si="83"/>
        <v>577</v>
      </c>
      <c r="C2350" t="s">
        <v>40</v>
      </c>
    </row>
    <row r="2351" spans="1:3" x14ac:dyDescent="0.25">
      <c r="A2351" s="71">
        <f t="shared" si="82"/>
        <v>115096</v>
      </c>
      <c r="B2351">
        <f t="shared" ca="1" si="83"/>
        <v>577</v>
      </c>
      <c r="C2351" t="s">
        <v>40</v>
      </c>
    </row>
    <row r="2352" spans="1:3" x14ac:dyDescent="0.25">
      <c r="A2352" s="71">
        <f t="shared" si="82"/>
        <v>115126</v>
      </c>
      <c r="B2352">
        <f t="shared" ca="1" si="83"/>
        <v>577</v>
      </c>
      <c r="C2352" t="s">
        <v>40</v>
      </c>
    </row>
    <row r="2353" spans="1:3" x14ac:dyDescent="0.25">
      <c r="A2353" s="71">
        <f t="shared" si="82"/>
        <v>115156</v>
      </c>
      <c r="B2353">
        <f t="shared" ca="1" si="83"/>
        <v>577</v>
      </c>
      <c r="C2353" t="s">
        <v>40</v>
      </c>
    </row>
    <row r="2354" spans="1:3" x14ac:dyDescent="0.25">
      <c r="A2354" s="71">
        <f t="shared" si="82"/>
        <v>115186</v>
      </c>
      <c r="B2354">
        <f t="shared" ca="1" si="83"/>
        <v>577</v>
      </c>
      <c r="C2354" t="s">
        <v>40</v>
      </c>
    </row>
    <row r="2355" spans="1:3" x14ac:dyDescent="0.25">
      <c r="A2355" s="71">
        <f t="shared" si="82"/>
        <v>115216</v>
      </c>
      <c r="B2355">
        <f t="shared" ca="1" si="83"/>
        <v>577</v>
      </c>
      <c r="C2355" t="s">
        <v>40</v>
      </c>
    </row>
    <row r="2356" spans="1:3" x14ac:dyDescent="0.25">
      <c r="A2356" s="71">
        <f t="shared" si="82"/>
        <v>115246</v>
      </c>
      <c r="B2356">
        <f t="shared" ca="1" si="83"/>
        <v>577</v>
      </c>
      <c r="C2356" t="s">
        <v>40</v>
      </c>
    </row>
    <row r="2357" spans="1:3" x14ac:dyDescent="0.25">
      <c r="A2357" s="71">
        <f t="shared" si="82"/>
        <v>115276</v>
      </c>
      <c r="B2357">
        <f t="shared" ca="1" si="83"/>
        <v>577</v>
      </c>
      <c r="C2357" t="s">
        <v>40</v>
      </c>
    </row>
    <row r="2358" spans="1:3" x14ac:dyDescent="0.25">
      <c r="A2358" s="71">
        <f t="shared" si="82"/>
        <v>115306</v>
      </c>
      <c r="B2358">
        <f t="shared" ca="1" si="83"/>
        <v>577</v>
      </c>
      <c r="C2358" t="s">
        <v>40</v>
      </c>
    </row>
    <row r="2359" spans="1:3" x14ac:dyDescent="0.25">
      <c r="A2359" s="71">
        <f t="shared" si="82"/>
        <v>115336</v>
      </c>
      <c r="B2359">
        <f t="shared" ca="1" si="83"/>
        <v>577</v>
      </c>
      <c r="C2359" t="s">
        <v>40</v>
      </c>
    </row>
    <row r="2360" spans="1:3" x14ac:dyDescent="0.25">
      <c r="A2360" s="71">
        <f t="shared" si="82"/>
        <v>115366</v>
      </c>
      <c r="B2360">
        <f t="shared" ca="1" si="83"/>
        <v>577</v>
      </c>
      <c r="C2360" t="s">
        <v>40</v>
      </c>
    </row>
    <row r="2361" spans="1:3" x14ac:dyDescent="0.25">
      <c r="A2361" s="71">
        <f t="shared" si="82"/>
        <v>115396</v>
      </c>
      <c r="B2361">
        <f t="shared" ca="1" si="83"/>
        <v>577</v>
      </c>
      <c r="C2361" t="s">
        <v>40</v>
      </c>
    </row>
    <row r="2362" spans="1:3" x14ac:dyDescent="0.25">
      <c r="A2362" s="71">
        <f t="shared" si="82"/>
        <v>115426</v>
      </c>
      <c r="B2362">
        <f t="shared" ca="1" si="83"/>
        <v>577</v>
      </c>
      <c r="C2362" t="s">
        <v>40</v>
      </c>
    </row>
    <row r="2363" spans="1:3" x14ac:dyDescent="0.25">
      <c r="A2363" s="71">
        <f t="shared" si="82"/>
        <v>115456</v>
      </c>
      <c r="B2363">
        <f t="shared" ca="1" si="83"/>
        <v>577</v>
      </c>
      <c r="C2363" t="s">
        <v>40</v>
      </c>
    </row>
    <row r="2364" spans="1:3" x14ac:dyDescent="0.25">
      <c r="A2364" s="71">
        <f t="shared" si="82"/>
        <v>115486</v>
      </c>
      <c r="B2364">
        <f t="shared" ca="1" si="83"/>
        <v>577</v>
      </c>
      <c r="C2364" t="s">
        <v>40</v>
      </c>
    </row>
    <row r="2365" spans="1:3" x14ac:dyDescent="0.25">
      <c r="A2365" s="71">
        <f t="shared" si="82"/>
        <v>115516</v>
      </c>
      <c r="B2365">
        <f t="shared" ca="1" si="83"/>
        <v>577</v>
      </c>
      <c r="C2365" t="s">
        <v>40</v>
      </c>
    </row>
    <row r="2366" spans="1:3" x14ac:dyDescent="0.25">
      <c r="A2366" s="71">
        <f t="shared" si="82"/>
        <v>115546</v>
      </c>
      <c r="B2366">
        <f t="shared" ca="1" si="83"/>
        <v>577</v>
      </c>
      <c r="C2366" t="s">
        <v>40</v>
      </c>
    </row>
    <row r="2367" spans="1:3" x14ac:dyDescent="0.25">
      <c r="A2367" s="71">
        <f t="shared" si="82"/>
        <v>115576</v>
      </c>
      <c r="B2367">
        <f t="shared" ca="1" si="83"/>
        <v>577</v>
      </c>
      <c r="C2367" t="s">
        <v>40</v>
      </c>
    </row>
    <row r="2368" spans="1:3" x14ac:dyDescent="0.25">
      <c r="A2368" s="71">
        <f t="shared" si="82"/>
        <v>115606</v>
      </c>
      <c r="B2368">
        <f t="shared" ca="1" si="83"/>
        <v>577</v>
      </c>
      <c r="C2368" t="s">
        <v>40</v>
      </c>
    </row>
    <row r="2369" spans="1:3" x14ac:dyDescent="0.25">
      <c r="A2369" s="71">
        <f t="shared" si="82"/>
        <v>115636</v>
      </c>
      <c r="B2369">
        <f t="shared" ca="1" si="83"/>
        <v>577</v>
      </c>
      <c r="C2369" t="s">
        <v>40</v>
      </c>
    </row>
    <row r="2370" spans="1:3" x14ac:dyDescent="0.25">
      <c r="A2370" s="71">
        <f t="shared" si="82"/>
        <v>115666</v>
      </c>
      <c r="B2370">
        <f t="shared" ca="1" si="83"/>
        <v>577</v>
      </c>
      <c r="C2370" t="s">
        <v>40</v>
      </c>
    </row>
    <row r="2371" spans="1:3" x14ac:dyDescent="0.25">
      <c r="A2371" s="71">
        <f t="shared" si="82"/>
        <v>115696</v>
      </c>
      <c r="B2371">
        <f t="shared" ca="1" si="83"/>
        <v>577</v>
      </c>
      <c r="C2371" t="s">
        <v>40</v>
      </c>
    </row>
    <row r="2372" spans="1:3" x14ac:dyDescent="0.25">
      <c r="A2372" s="71">
        <f t="shared" si="82"/>
        <v>115726</v>
      </c>
      <c r="B2372">
        <f t="shared" ca="1" si="83"/>
        <v>577</v>
      </c>
      <c r="C2372" t="s">
        <v>40</v>
      </c>
    </row>
    <row r="2373" spans="1:3" x14ac:dyDescent="0.25">
      <c r="A2373" s="71">
        <f t="shared" si="82"/>
        <v>115756</v>
      </c>
      <c r="B2373">
        <f t="shared" ca="1" si="83"/>
        <v>577</v>
      </c>
      <c r="C2373" t="s">
        <v>40</v>
      </c>
    </row>
    <row r="2374" spans="1:3" x14ac:dyDescent="0.25">
      <c r="A2374" s="71">
        <f t="shared" si="82"/>
        <v>115786</v>
      </c>
      <c r="B2374">
        <f t="shared" ca="1" si="83"/>
        <v>577</v>
      </c>
      <c r="C2374" t="s">
        <v>40</v>
      </c>
    </row>
    <row r="2375" spans="1:3" x14ac:dyDescent="0.25">
      <c r="A2375" s="71">
        <f t="shared" si="82"/>
        <v>115816</v>
      </c>
      <c r="B2375">
        <f t="shared" ca="1" si="83"/>
        <v>577</v>
      </c>
      <c r="C2375" t="s">
        <v>40</v>
      </c>
    </row>
    <row r="2376" spans="1:3" x14ac:dyDescent="0.25">
      <c r="A2376" s="71">
        <f t="shared" si="82"/>
        <v>115846</v>
      </c>
      <c r="B2376">
        <f t="shared" ca="1" si="83"/>
        <v>577</v>
      </c>
      <c r="C2376" t="s">
        <v>40</v>
      </c>
    </row>
    <row r="2377" spans="1:3" x14ac:dyDescent="0.25">
      <c r="A2377" s="71">
        <f t="shared" si="82"/>
        <v>115876</v>
      </c>
      <c r="B2377">
        <f t="shared" ca="1" si="83"/>
        <v>577</v>
      </c>
      <c r="C2377" t="s">
        <v>40</v>
      </c>
    </row>
    <row r="2378" spans="1:3" x14ac:dyDescent="0.25">
      <c r="A2378" s="71">
        <f t="shared" si="82"/>
        <v>115906</v>
      </c>
      <c r="B2378">
        <f t="shared" ca="1" si="83"/>
        <v>577</v>
      </c>
      <c r="C2378" t="s">
        <v>40</v>
      </c>
    </row>
    <row r="2379" spans="1:3" x14ac:dyDescent="0.25">
      <c r="A2379" s="71">
        <f t="shared" si="82"/>
        <v>115936</v>
      </c>
      <c r="B2379">
        <f t="shared" ca="1" si="83"/>
        <v>577</v>
      </c>
      <c r="C2379" t="s">
        <v>40</v>
      </c>
    </row>
    <row r="2380" spans="1:3" x14ac:dyDescent="0.25">
      <c r="A2380" s="71">
        <f t="shared" ref="A2380:A2443" si="84">A2379+30</f>
        <v>115966</v>
      </c>
      <c r="B2380">
        <f t="shared" ref="B2380:B2443" ca="1" si="85">B2379</f>
        <v>577</v>
      </c>
      <c r="C2380" t="s">
        <v>40</v>
      </c>
    </row>
    <row r="2381" spans="1:3" x14ac:dyDescent="0.25">
      <c r="A2381" s="71">
        <f t="shared" si="84"/>
        <v>115996</v>
      </c>
      <c r="B2381">
        <f t="shared" ca="1" si="85"/>
        <v>577</v>
      </c>
      <c r="C2381" t="s">
        <v>40</v>
      </c>
    </row>
    <row r="2382" spans="1:3" x14ac:dyDescent="0.25">
      <c r="A2382" s="71">
        <f t="shared" si="84"/>
        <v>116026</v>
      </c>
      <c r="B2382">
        <f t="shared" ca="1" si="85"/>
        <v>577</v>
      </c>
      <c r="C2382" t="s">
        <v>40</v>
      </c>
    </row>
    <row r="2383" spans="1:3" x14ac:dyDescent="0.25">
      <c r="A2383" s="71">
        <f t="shared" si="84"/>
        <v>116056</v>
      </c>
      <c r="B2383">
        <f t="shared" ca="1" si="85"/>
        <v>577</v>
      </c>
      <c r="C2383" t="s">
        <v>40</v>
      </c>
    </row>
    <row r="2384" spans="1:3" x14ac:dyDescent="0.25">
      <c r="A2384" s="71">
        <f t="shared" si="84"/>
        <v>116086</v>
      </c>
      <c r="B2384">
        <f t="shared" ca="1" si="85"/>
        <v>577</v>
      </c>
      <c r="C2384" t="s">
        <v>40</v>
      </c>
    </row>
    <row r="2385" spans="1:3" x14ac:dyDescent="0.25">
      <c r="A2385" s="71">
        <f t="shared" si="84"/>
        <v>116116</v>
      </c>
      <c r="B2385">
        <f t="shared" ca="1" si="85"/>
        <v>577</v>
      </c>
      <c r="C2385" t="s">
        <v>40</v>
      </c>
    </row>
    <row r="2386" spans="1:3" x14ac:dyDescent="0.25">
      <c r="A2386" s="71">
        <f t="shared" si="84"/>
        <v>116146</v>
      </c>
      <c r="B2386">
        <f t="shared" ca="1" si="85"/>
        <v>577</v>
      </c>
      <c r="C2386" t="s">
        <v>40</v>
      </c>
    </row>
    <row r="2387" spans="1:3" x14ac:dyDescent="0.25">
      <c r="A2387" s="71">
        <f t="shared" si="84"/>
        <v>116176</v>
      </c>
      <c r="B2387">
        <f t="shared" ca="1" si="85"/>
        <v>577</v>
      </c>
      <c r="C2387" t="s">
        <v>40</v>
      </c>
    </row>
    <row r="2388" spans="1:3" x14ac:dyDescent="0.25">
      <c r="A2388" s="71">
        <f t="shared" si="84"/>
        <v>116206</v>
      </c>
      <c r="B2388">
        <f t="shared" ca="1" si="85"/>
        <v>577</v>
      </c>
      <c r="C2388" t="s">
        <v>40</v>
      </c>
    </row>
    <row r="2389" spans="1:3" x14ac:dyDescent="0.25">
      <c r="A2389" s="71">
        <f t="shared" si="84"/>
        <v>116236</v>
      </c>
      <c r="B2389">
        <f t="shared" ca="1" si="85"/>
        <v>577</v>
      </c>
      <c r="C2389" t="s">
        <v>40</v>
      </c>
    </row>
    <row r="2390" spans="1:3" x14ac:dyDescent="0.25">
      <c r="A2390" s="71">
        <f t="shared" si="84"/>
        <v>116266</v>
      </c>
      <c r="B2390">
        <f t="shared" ca="1" si="85"/>
        <v>577</v>
      </c>
      <c r="C2390" t="s">
        <v>40</v>
      </c>
    </row>
    <row r="2391" spans="1:3" x14ac:dyDescent="0.25">
      <c r="A2391" s="71">
        <f t="shared" si="84"/>
        <v>116296</v>
      </c>
      <c r="B2391">
        <f t="shared" ca="1" si="85"/>
        <v>577</v>
      </c>
      <c r="C2391" t="s">
        <v>40</v>
      </c>
    </row>
    <row r="2392" spans="1:3" x14ac:dyDescent="0.25">
      <c r="A2392" s="71">
        <f t="shared" si="84"/>
        <v>116326</v>
      </c>
      <c r="B2392">
        <f t="shared" ca="1" si="85"/>
        <v>577</v>
      </c>
      <c r="C2392" t="s">
        <v>40</v>
      </c>
    </row>
    <row r="2393" spans="1:3" x14ac:dyDescent="0.25">
      <c r="A2393" s="71">
        <f t="shared" si="84"/>
        <v>116356</v>
      </c>
      <c r="B2393">
        <f t="shared" ca="1" si="85"/>
        <v>577</v>
      </c>
      <c r="C2393" t="s">
        <v>40</v>
      </c>
    </row>
    <row r="2394" spans="1:3" x14ac:dyDescent="0.25">
      <c r="A2394" s="71">
        <f t="shared" si="84"/>
        <v>116386</v>
      </c>
      <c r="B2394">
        <f t="shared" ca="1" si="85"/>
        <v>577</v>
      </c>
      <c r="C2394" t="s">
        <v>40</v>
      </c>
    </row>
    <row r="2395" spans="1:3" x14ac:dyDescent="0.25">
      <c r="A2395" s="71">
        <f t="shared" si="84"/>
        <v>116416</v>
      </c>
      <c r="B2395">
        <f t="shared" ca="1" si="85"/>
        <v>577</v>
      </c>
      <c r="C2395" t="s">
        <v>40</v>
      </c>
    </row>
    <row r="2396" spans="1:3" x14ac:dyDescent="0.25">
      <c r="A2396" s="71">
        <f t="shared" si="84"/>
        <v>116446</v>
      </c>
      <c r="B2396">
        <f t="shared" ca="1" si="85"/>
        <v>577</v>
      </c>
      <c r="C2396" t="s">
        <v>40</v>
      </c>
    </row>
    <row r="2397" spans="1:3" x14ac:dyDescent="0.25">
      <c r="A2397" s="71">
        <f t="shared" si="84"/>
        <v>116476</v>
      </c>
      <c r="B2397">
        <f t="shared" ca="1" si="85"/>
        <v>577</v>
      </c>
      <c r="C2397" t="s">
        <v>40</v>
      </c>
    </row>
    <row r="2398" spans="1:3" x14ac:dyDescent="0.25">
      <c r="A2398" s="71">
        <f t="shared" si="84"/>
        <v>116506</v>
      </c>
      <c r="B2398">
        <f t="shared" ca="1" si="85"/>
        <v>577</v>
      </c>
      <c r="C2398" t="s">
        <v>40</v>
      </c>
    </row>
    <row r="2399" spans="1:3" x14ac:dyDescent="0.25">
      <c r="A2399" s="71">
        <f t="shared" si="84"/>
        <v>116536</v>
      </c>
      <c r="B2399">
        <f t="shared" ca="1" si="85"/>
        <v>577</v>
      </c>
      <c r="C2399" t="s">
        <v>40</v>
      </c>
    </row>
    <row r="2400" spans="1:3" x14ac:dyDescent="0.25">
      <c r="A2400" s="71">
        <f t="shared" si="84"/>
        <v>116566</v>
      </c>
      <c r="B2400">
        <f t="shared" ca="1" si="85"/>
        <v>577</v>
      </c>
      <c r="C2400" t="s">
        <v>40</v>
      </c>
    </row>
    <row r="2401" spans="1:3" x14ac:dyDescent="0.25">
      <c r="A2401" s="71">
        <f t="shared" si="84"/>
        <v>116596</v>
      </c>
      <c r="B2401">
        <f t="shared" ca="1" si="85"/>
        <v>577</v>
      </c>
      <c r="C2401" t="s">
        <v>40</v>
      </c>
    </row>
    <row r="2402" spans="1:3" x14ac:dyDescent="0.25">
      <c r="A2402" s="71">
        <f t="shared" si="84"/>
        <v>116626</v>
      </c>
      <c r="B2402">
        <f t="shared" ca="1" si="85"/>
        <v>577</v>
      </c>
      <c r="C2402" t="s">
        <v>40</v>
      </c>
    </row>
    <row r="2403" spans="1:3" x14ac:dyDescent="0.25">
      <c r="A2403" s="71">
        <f t="shared" si="84"/>
        <v>116656</v>
      </c>
      <c r="B2403">
        <f t="shared" ca="1" si="85"/>
        <v>577</v>
      </c>
      <c r="C2403" t="s">
        <v>40</v>
      </c>
    </row>
    <row r="2404" spans="1:3" x14ac:dyDescent="0.25">
      <c r="A2404" s="71">
        <f t="shared" si="84"/>
        <v>116686</v>
      </c>
      <c r="B2404">
        <f t="shared" ca="1" si="85"/>
        <v>577</v>
      </c>
      <c r="C2404" t="s">
        <v>40</v>
      </c>
    </row>
    <row r="2405" spans="1:3" x14ac:dyDescent="0.25">
      <c r="A2405" s="71">
        <f t="shared" si="84"/>
        <v>116716</v>
      </c>
      <c r="B2405">
        <f t="shared" ca="1" si="85"/>
        <v>577</v>
      </c>
      <c r="C2405" t="s">
        <v>40</v>
      </c>
    </row>
    <row r="2406" spans="1:3" x14ac:dyDescent="0.25">
      <c r="A2406" s="71">
        <f t="shared" si="84"/>
        <v>116746</v>
      </c>
      <c r="B2406">
        <f t="shared" ca="1" si="85"/>
        <v>577</v>
      </c>
      <c r="C2406" t="s">
        <v>40</v>
      </c>
    </row>
    <row r="2407" spans="1:3" x14ac:dyDescent="0.25">
      <c r="A2407" s="71">
        <f t="shared" si="84"/>
        <v>116776</v>
      </c>
      <c r="B2407">
        <f t="shared" ca="1" si="85"/>
        <v>577</v>
      </c>
      <c r="C2407" t="s">
        <v>40</v>
      </c>
    </row>
    <row r="2408" spans="1:3" x14ac:dyDescent="0.25">
      <c r="A2408" s="71">
        <f t="shared" si="84"/>
        <v>116806</v>
      </c>
      <c r="B2408">
        <f t="shared" ca="1" si="85"/>
        <v>577</v>
      </c>
      <c r="C2408" t="s">
        <v>40</v>
      </c>
    </row>
    <row r="2409" spans="1:3" x14ac:dyDescent="0.25">
      <c r="A2409" s="71">
        <f t="shared" si="84"/>
        <v>116836</v>
      </c>
      <c r="B2409">
        <f t="shared" ca="1" si="85"/>
        <v>577</v>
      </c>
      <c r="C2409" t="s">
        <v>40</v>
      </c>
    </row>
    <row r="2410" spans="1:3" x14ac:dyDescent="0.25">
      <c r="A2410" s="71">
        <f t="shared" si="84"/>
        <v>116866</v>
      </c>
      <c r="B2410">
        <f t="shared" ca="1" si="85"/>
        <v>577</v>
      </c>
      <c r="C2410" t="s">
        <v>40</v>
      </c>
    </row>
    <row r="2411" spans="1:3" x14ac:dyDescent="0.25">
      <c r="A2411" s="71">
        <f t="shared" si="84"/>
        <v>116896</v>
      </c>
      <c r="B2411">
        <f t="shared" ca="1" si="85"/>
        <v>577</v>
      </c>
      <c r="C2411" t="s">
        <v>40</v>
      </c>
    </row>
    <row r="2412" spans="1:3" x14ac:dyDescent="0.25">
      <c r="A2412" s="71">
        <f t="shared" si="84"/>
        <v>116926</v>
      </c>
      <c r="B2412">
        <f t="shared" ca="1" si="85"/>
        <v>577</v>
      </c>
      <c r="C2412" t="s">
        <v>40</v>
      </c>
    </row>
    <row r="2413" spans="1:3" x14ac:dyDescent="0.25">
      <c r="A2413" s="71">
        <f t="shared" si="84"/>
        <v>116956</v>
      </c>
      <c r="B2413">
        <f t="shared" ca="1" si="85"/>
        <v>577</v>
      </c>
      <c r="C2413" t="s">
        <v>40</v>
      </c>
    </row>
    <row r="2414" spans="1:3" x14ac:dyDescent="0.25">
      <c r="A2414" s="71">
        <f t="shared" si="84"/>
        <v>116986</v>
      </c>
      <c r="B2414">
        <f t="shared" ca="1" si="85"/>
        <v>577</v>
      </c>
      <c r="C2414" t="s">
        <v>40</v>
      </c>
    </row>
    <row r="2415" spans="1:3" x14ac:dyDescent="0.25">
      <c r="A2415" s="71">
        <f t="shared" si="84"/>
        <v>117016</v>
      </c>
      <c r="B2415">
        <f t="shared" ca="1" si="85"/>
        <v>577</v>
      </c>
      <c r="C2415" t="s">
        <v>40</v>
      </c>
    </row>
    <row r="2416" spans="1:3" x14ac:dyDescent="0.25">
      <c r="A2416" s="71">
        <f t="shared" si="84"/>
        <v>117046</v>
      </c>
      <c r="B2416">
        <f t="shared" ca="1" si="85"/>
        <v>577</v>
      </c>
      <c r="C2416" t="s">
        <v>40</v>
      </c>
    </row>
    <row r="2417" spans="1:3" x14ac:dyDescent="0.25">
      <c r="A2417" s="71">
        <f t="shared" si="84"/>
        <v>117076</v>
      </c>
      <c r="B2417">
        <f t="shared" ca="1" si="85"/>
        <v>577</v>
      </c>
      <c r="C2417" t="s">
        <v>40</v>
      </c>
    </row>
    <row r="2418" spans="1:3" x14ac:dyDescent="0.25">
      <c r="A2418" s="71">
        <f t="shared" si="84"/>
        <v>117106</v>
      </c>
      <c r="B2418">
        <f t="shared" ca="1" si="85"/>
        <v>577</v>
      </c>
      <c r="C2418" t="s">
        <v>40</v>
      </c>
    </row>
    <row r="2419" spans="1:3" x14ac:dyDescent="0.25">
      <c r="A2419" s="71">
        <f t="shared" si="84"/>
        <v>117136</v>
      </c>
      <c r="B2419">
        <f t="shared" ca="1" si="85"/>
        <v>577</v>
      </c>
      <c r="C2419" t="s">
        <v>40</v>
      </c>
    </row>
    <row r="2420" spans="1:3" x14ac:dyDescent="0.25">
      <c r="A2420" s="71">
        <f t="shared" si="84"/>
        <v>117166</v>
      </c>
      <c r="B2420">
        <f t="shared" ca="1" si="85"/>
        <v>577</v>
      </c>
      <c r="C2420" t="s">
        <v>40</v>
      </c>
    </row>
    <row r="2421" spans="1:3" x14ac:dyDescent="0.25">
      <c r="A2421" s="71">
        <f t="shared" si="84"/>
        <v>117196</v>
      </c>
      <c r="B2421">
        <f t="shared" ca="1" si="85"/>
        <v>577</v>
      </c>
      <c r="C2421" t="s">
        <v>40</v>
      </c>
    </row>
    <row r="2422" spans="1:3" x14ac:dyDescent="0.25">
      <c r="A2422" s="71">
        <f t="shared" si="84"/>
        <v>117226</v>
      </c>
      <c r="B2422">
        <f t="shared" ca="1" si="85"/>
        <v>577</v>
      </c>
      <c r="C2422" t="s">
        <v>40</v>
      </c>
    </row>
    <row r="2423" spans="1:3" x14ac:dyDescent="0.25">
      <c r="A2423" s="71">
        <f t="shared" si="84"/>
        <v>117256</v>
      </c>
      <c r="B2423">
        <f t="shared" ca="1" si="85"/>
        <v>577</v>
      </c>
      <c r="C2423" t="s">
        <v>40</v>
      </c>
    </row>
    <row r="2424" spans="1:3" x14ac:dyDescent="0.25">
      <c r="A2424" s="71">
        <f t="shared" si="84"/>
        <v>117286</v>
      </c>
      <c r="B2424">
        <f t="shared" ca="1" si="85"/>
        <v>577</v>
      </c>
      <c r="C2424" t="s">
        <v>40</v>
      </c>
    </row>
    <row r="2425" spans="1:3" x14ac:dyDescent="0.25">
      <c r="A2425" s="71">
        <f t="shared" si="84"/>
        <v>117316</v>
      </c>
      <c r="B2425">
        <f t="shared" ca="1" si="85"/>
        <v>577</v>
      </c>
      <c r="C2425" t="s">
        <v>40</v>
      </c>
    </row>
    <row r="2426" spans="1:3" x14ac:dyDescent="0.25">
      <c r="A2426" s="71">
        <f t="shared" si="84"/>
        <v>117346</v>
      </c>
      <c r="B2426">
        <f t="shared" ca="1" si="85"/>
        <v>577</v>
      </c>
      <c r="C2426" t="s">
        <v>40</v>
      </c>
    </row>
    <row r="2427" spans="1:3" x14ac:dyDescent="0.25">
      <c r="A2427" s="71">
        <f t="shared" si="84"/>
        <v>117376</v>
      </c>
      <c r="B2427">
        <f t="shared" ca="1" si="85"/>
        <v>577</v>
      </c>
      <c r="C2427" t="s">
        <v>40</v>
      </c>
    </row>
    <row r="2428" spans="1:3" x14ac:dyDescent="0.25">
      <c r="A2428" s="71">
        <f t="shared" si="84"/>
        <v>117406</v>
      </c>
      <c r="B2428">
        <f t="shared" ca="1" si="85"/>
        <v>577</v>
      </c>
      <c r="C2428" t="s">
        <v>40</v>
      </c>
    </row>
    <row r="2429" spans="1:3" x14ac:dyDescent="0.25">
      <c r="A2429" s="71">
        <f t="shared" si="84"/>
        <v>117436</v>
      </c>
      <c r="B2429">
        <f t="shared" ca="1" si="85"/>
        <v>577</v>
      </c>
      <c r="C2429" t="s">
        <v>40</v>
      </c>
    </row>
    <row r="2430" spans="1:3" x14ac:dyDescent="0.25">
      <c r="A2430" s="71">
        <f t="shared" si="84"/>
        <v>117466</v>
      </c>
      <c r="B2430">
        <f t="shared" ca="1" si="85"/>
        <v>577</v>
      </c>
      <c r="C2430" t="s">
        <v>40</v>
      </c>
    </row>
    <row r="2431" spans="1:3" x14ac:dyDescent="0.25">
      <c r="A2431" s="71">
        <f t="shared" si="84"/>
        <v>117496</v>
      </c>
      <c r="B2431">
        <f t="shared" ca="1" si="85"/>
        <v>577</v>
      </c>
      <c r="C2431" t="s">
        <v>40</v>
      </c>
    </row>
    <row r="2432" spans="1:3" x14ac:dyDescent="0.25">
      <c r="A2432" s="71">
        <f t="shared" si="84"/>
        <v>117526</v>
      </c>
      <c r="B2432">
        <f t="shared" ca="1" si="85"/>
        <v>577</v>
      </c>
      <c r="C2432" t="s">
        <v>40</v>
      </c>
    </row>
    <row r="2433" spans="1:3" x14ac:dyDescent="0.25">
      <c r="A2433" s="71">
        <f t="shared" si="84"/>
        <v>117556</v>
      </c>
      <c r="B2433">
        <f t="shared" ca="1" si="85"/>
        <v>577</v>
      </c>
      <c r="C2433" t="s">
        <v>40</v>
      </c>
    </row>
    <row r="2434" spans="1:3" x14ac:dyDescent="0.25">
      <c r="A2434" s="71">
        <f t="shared" si="84"/>
        <v>117586</v>
      </c>
      <c r="B2434">
        <f t="shared" ca="1" si="85"/>
        <v>577</v>
      </c>
      <c r="C2434" t="s">
        <v>40</v>
      </c>
    </row>
    <row r="2435" spans="1:3" x14ac:dyDescent="0.25">
      <c r="A2435" s="71">
        <f t="shared" si="84"/>
        <v>117616</v>
      </c>
      <c r="B2435">
        <f t="shared" ca="1" si="85"/>
        <v>577</v>
      </c>
      <c r="C2435" t="s">
        <v>40</v>
      </c>
    </row>
    <row r="2436" spans="1:3" x14ac:dyDescent="0.25">
      <c r="A2436" s="71">
        <f t="shared" si="84"/>
        <v>117646</v>
      </c>
      <c r="B2436">
        <f t="shared" ca="1" si="85"/>
        <v>577</v>
      </c>
      <c r="C2436" t="s">
        <v>40</v>
      </c>
    </row>
    <row r="2437" spans="1:3" x14ac:dyDescent="0.25">
      <c r="A2437" s="71">
        <f t="shared" si="84"/>
        <v>117676</v>
      </c>
      <c r="B2437">
        <f t="shared" ca="1" si="85"/>
        <v>577</v>
      </c>
      <c r="C2437" t="s">
        <v>40</v>
      </c>
    </row>
    <row r="2438" spans="1:3" x14ac:dyDescent="0.25">
      <c r="A2438" s="71">
        <f t="shared" si="84"/>
        <v>117706</v>
      </c>
      <c r="B2438">
        <f t="shared" ca="1" si="85"/>
        <v>577</v>
      </c>
      <c r="C2438" t="s">
        <v>40</v>
      </c>
    </row>
    <row r="2439" spans="1:3" x14ac:dyDescent="0.25">
      <c r="A2439" s="71">
        <f t="shared" si="84"/>
        <v>117736</v>
      </c>
      <c r="B2439">
        <f t="shared" ca="1" si="85"/>
        <v>577</v>
      </c>
      <c r="C2439" t="s">
        <v>40</v>
      </c>
    </row>
    <row r="2440" spans="1:3" x14ac:dyDescent="0.25">
      <c r="A2440" s="71">
        <f t="shared" si="84"/>
        <v>117766</v>
      </c>
      <c r="B2440">
        <f t="shared" ca="1" si="85"/>
        <v>577</v>
      </c>
      <c r="C2440" t="s">
        <v>40</v>
      </c>
    </row>
    <row r="2441" spans="1:3" x14ac:dyDescent="0.25">
      <c r="A2441" s="71">
        <f t="shared" si="84"/>
        <v>117796</v>
      </c>
      <c r="B2441">
        <f t="shared" ca="1" si="85"/>
        <v>577</v>
      </c>
      <c r="C2441" t="s">
        <v>40</v>
      </c>
    </row>
    <row r="2442" spans="1:3" x14ac:dyDescent="0.25">
      <c r="A2442" s="71">
        <f t="shared" si="84"/>
        <v>117826</v>
      </c>
      <c r="B2442">
        <f t="shared" ca="1" si="85"/>
        <v>577</v>
      </c>
      <c r="C2442" t="s">
        <v>40</v>
      </c>
    </row>
    <row r="2443" spans="1:3" x14ac:dyDescent="0.25">
      <c r="A2443" s="71">
        <f t="shared" si="84"/>
        <v>117856</v>
      </c>
      <c r="B2443">
        <f t="shared" ca="1" si="85"/>
        <v>577</v>
      </c>
      <c r="C2443" t="s">
        <v>40</v>
      </c>
    </row>
    <row r="2444" spans="1:3" x14ac:dyDescent="0.25">
      <c r="A2444" s="71">
        <f t="shared" ref="A2444:A2507" si="86">A2443+30</f>
        <v>117886</v>
      </c>
      <c r="B2444">
        <f t="shared" ref="B2444:B2507" ca="1" si="87">B2443</f>
        <v>577</v>
      </c>
      <c r="C2444" t="s">
        <v>40</v>
      </c>
    </row>
    <row r="2445" spans="1:3" x14ac:dyDescent="0.25">
      <c r="A2445" s="71">
        <f t="shared" si="86"/>
        <v>117916</v>
      </c>
      <c r="B2445">
        <f t="shared" ca="1" si="87"/>
        <v>577</v>
      </c>
      <c r="C2445" t="s">
        <v>40</v>
      </c>
    </row>
    <row r="2446" spans="1:3" x14ac:dyDescent="0.25">
      <c r="A2446" s="71">
        <f t="shared" si="86"/>
        <v>117946</v>
      </c>
      <c r="B2446">
        <f t="shared" ca="1" si="87"/>
        <v>577</v>
      </c>
      <c r="C2446" t="s">
        <v>40</v>
      </c>
    </row>
    <row r="2447" spans="1:3" x14ac:dyDescent="0.25">
      <c r="A2447" s="71">
        <f t="shared" si="86"/>
        <v>117976</v>
      </c>
      <c r="B2447">
        <f t="shared" ca="1" si="87"/>
        <v>577</v>
      </c>
      <c r="C2447" t="s">
        <v>40</v>
      </c>
    </row>
    <row r="2448" spans="1:3" x14ac:dyDescent="0.25">
      <c r="A2448" s="71">
        <f t="shared" si="86"/>
        <v>118006</v>
      </c>
      <c r="B2448">
        <f t="shared" ca="1" si="87"/>
        <v>577</v>
      </c>
      <c r="C2448" t="s">
        <v>40</v>
      </c>
    </row>
    <row r="2449" spans="1:3" x14ac:dyDescent="0.25">
      <c r="A2449" s="71">
        <f t="shared" si="86"/>
        <v>118036</v>
      </c>
      <c r="B2449">
        <f t="shared" ca="1" si="87"/>
        <v>577</v>
      </c>
      <c r="C2449" t="s">
        <v>40</v>
      </c>
    </row>
    <row r="2450" spans="1:3" x14ac:dyDescent="0.25">
      <c r="A2450" s="71">
        <f t="shared" si="86"/>
        <v>118066</v>
      </c>
      <c r="B2450">
        <f t="shared" ca="1" si="87"/>
        <v>577</v>
      </c>
      <c r="C2450" t="s">
        <v>40</v>
      </c>
    </row>
    <row r="2451" spans="1:3" x14ac:dyDescent="0.25">
      <c r="A2451" s="71">
        <f t="shared" si="86"/>
        <v>118096</v>
      </c>
      <c r="B2451">
        <f t="shared" ca="1" si="87"/>
        <v>577</v>
      </c>
      <c r="C2451" t="s">
        <v>40</v>
      </c>
    </row>
    <row r="2452" spans="1:3" x14ac:dyDescent="0.25">
      <c r="A2452" s="71">
        <f t="shared" si="86"/>
        <v>118126</v>
      </c>
      <c r="B2452">
        <f t="shared" ca="1" si="87"/>
        <v>577</v>
      </c>
      <c r="C2452" t="s">
        <v>40</v>
      </c>
    </row>
    <row r="2453" spans="1:3" x14ac:dyDescent="0.25">
      <c r="A2453" s="71">
        <f t="shared" si="86"/>
        <v>118156</v>
      </c>
      <c r="B2453">
        <f t="shared" ca="1" si="87"/>
        <v>577</v>
      </c>
      <c r="C2453" t="s">
        <v>40</v>
      </c>
    </row>
    <row r="2454" spans="1:3" x14ac:dyDescent="0.25">
      <c r="A2454" s="71">
        <f t="shared" si="86"/>
        <v>118186</v>
      </c>
      <c r="B2454">
        <f t="shared" ca="1" si="87"/>
        <v>577</v>
      </c>
      <c r="C2454" t="s">
        <v>40</v>
      </c>
    </row>
    <row r="2455" spans="1:3" x14ac:dyDescent="0.25">
      <c r="A2455" s="71">
        <f t="shared" si="86"/>
        <v>118216</v>
      </c>
      <c r="B2455">
        <f t="shared" ca="1" si="87"/>
        <v>577</v>
      </c>
      <c r="C2455" t="s">
        <v>40</v>
      </c>
    </row>
    <row r="2456" spans="1:3" x14ac:dyDescent="0.25">
      <c r="A2456" s="71">
        <f t="shared" si="86"/>
        <v>118246</v>
      </c>
      <c r="B2456">
        <f t="shared" ca="1" si="87"/>
        <v>577</v>
      </c>
      <c r="C2456" t="s">
        <v>40</v>
      </c>
    </row>
    <row r="2457" spans="1:3" x14ac:dyDescent="0.25">
      <c r="A2457" s="71">
        <f t="shared" si="86"/>
        <v>118276</v>
      </c>
      <c r="B2457">
        <f t="shared" ca="1" si="87"/>
        <v>577</v>
      </c>
      <c r="C2457" t="s">
        <v>40</v>
      </c>
    </row>
    <row r="2458" spans="1:3" x14ac:dyDescent="0.25">
      <c r="A2458" s="71">
        <f t="shared" si="86"/>
        <v>118306</v>
      </c>
      <c r="B2458">
        <f t="shared" ca="1" si="87"/>
        <v>577</v>
      </c>
      <c r="C2458" t="s">
        <v>40</v>
      </c>
    </row>
    <row r="2459" spans="1:3" x14ac:dyDescent="0.25">
      <c r="A2459" s="71">
        <f t="shared" si="86"/>
        <v>118336</v>
      </c>
      <c r="B2459">
        <f t="shared" ca="1" si="87"/>
        <v>577</v>
      </c>
      <c r="C2459" t="s">
        <v>40</v>
      </c>
    </row>
    <row r="2460" spans="1:3" x14ac:dyDescent="0.25">
      <c r="A2460" s="71">
        <f t="shared" si="86"/>
        <v>118366</v>
      </c>
      <c r="B2460">
        <f t="shared" ca="1" si="87"/>
        <v>577</v>
      </c>
      <c r="C2460" t="s">
        <v>40</v>
      </c>
    </row>
    <row r="2461" spans="1:3" x14ac:dyDescent="0.25">
      <c r="A2461" s="71">
        <f t="shared" si="86"/>
        <v>118396</v>
      </c>
      <c r="B2461">
        <f t="shared" ca="1" si="87"/>
        <v>577</v>
      </c>
      <c r="C2461" t="s">
        <v>40</v>
      </c>
    </row>
    <row r="2462" spans="1:3" x14ac:dyDescent="0.25">
      <c r="A2462" s="71">
        <f t="shared" si="86"/>
        <v>118426</v>
      </c>
      <c r="B2462">
        <f t="shared" ca="1" si="87"/>
        <v>577</v>
      </c>
      <c r="C2462" t="s">
        <v>40</v>
      </c>
    </row>
    <row r="2463" spans="1:3" x14ac:dyDescent="0.25">
      <c r="A2463" s="71">
        <f t="shared" si="86"/>
        <v>118456</v>
      </c>
      <c r="B2463">
        <f t="shared" ca="1" si="87"/>
        <v>577</v>
      </c>
      <c r="C2463" t="s">
        <v>40</v>
      </c>
    </row>
    <row r="2464" spans="1:3" x14ac:dyDescent="0.25">
      <c r="A2464" s="71">
        <f t="shared" si="86"/>
        <v>118486</v>
      </c>
      <c r="B2464">
        <f t="shared" ca="1" si="87"/>
        <v>577</v>
      </c>
      <c r="C2464" t="s">
        <v>40</v>
      </c>
    </row>
    <row r="2465" spans="1:3" x14ac:dyDescent="0.25">
      <c r="A2465" s="71">
        <f t="shared" si="86"/>
        <v>118516</v>
      </c>
      <c r="B2465">
        <f t="shared" ca="1" si="87"/>
        <v>577</v>
      </c>
      <c r="C2465" t="s">
        <v>40</v>
      </c>
    </row>
    <row r="2466" spans="1:3" x14ac:dyDescent="0.25">
      <c r="A2466" s="71">
        <f t="shared" si="86"/>
        <v>118546</v>
      </c>
      <c r="B2466">
        <f t="shared" ca="1" si="87"/>
        <v>577</v>
      </c>
      <c r="C2466" t="s">
        <v>40</v>
      </c>
    </row>
    <row r="2467" spans="1:3" x14ac:dyDescent="0.25">
      <c r="A2467" s="71">
        <f t="shared" si="86"/>
        <v>118576</v>
      </c>
      <c r="B2467">
        <f t="shared" ca="1" si="87"/>
        <v>577</v>
      </c>
      <c r="C2467" t="s">
        <v>40</v>
      </c>
    </row>
    <row r="2468" spans="1:3" x14ac:dyDescent="0.25">
      <c r="A2468" s="71">
        <f t="shared" si="86"/>
        <v>118606</v>
      </c>
      <c r="B2468">
        <f t="shared" ca="1" si="87"/>
        <v>577</v>
      </c>
      <c r="C2468" t="s">
        <v>40</v>
      </c>
    </row>
    <row r="2469" spans="1:3" x14ac:dyDescent="0.25">
      <c r="A2469" s="71">
        <f t="shared" si="86"/>
        <v>118636</v>
      </c>
      <c r="B2469">
        <f t="shared" ca="1" si="87"/>
        <v>577</v>
      </c>
      <c r="C2469" t="s">
        <v>40</v>
      </c>
    </row>
    <row r="2470" spans="1:3" x14ac:dyDescent="0.25">
      <c r="A2470" s="71">
        <f t="shared" si="86"/>
        <v>118666</v>
      </c>
      <c r="B2470">
        <f t="shared" ca="1" si="87"/>
        <v>577</v>
      </c>
      <c r="C2470" t="s">
        <v>40</v>
      </c>
    </row>
    <row r="2471" spans="1:3" x14ac:dyDescent="0.25">
      <c r="A2471" s="71">
        <f t="shared" si="86"/>
        <v>118696</v>
      </c>
      <c r="B2471">
        <f t="shared" ca="1" si="87"/>
        <v>577</v>
      </c>
      <c r="C2471" t="s">
        <v>40</v>
      </c>
    </row>
    <row r="2472" spans="1:3" x14ac:dyDescent="0.25">
      <c r="A2472" s="71">
        <f t="shared" si="86"/>
        <v>118726</v>
      </c>
      <c r="B2472">
        <f t="shared" ca="1" si="87"/>
        <v>577</v>
      </c>
      <c r="C2472" t="s">
        <v>40</v>
      </c>
    </row>
    <row r="2473" spans="1:3" x14ac:dyDescent="0.25">
      <c r="A2473" s="71">
        <f t="shared" si="86"/>
        <v>118756</v>
      </c>
      <c r="B2473">
        <f t="shared" ca="1" si="87"/>
        <v>577</v>
      </c>
      <c r="C2473" t="s">
        <v>40</v>
      </c>
    </row>
    <row r="2474" spans="1:3" x14ac:dyDescent="0.25">
      <c r="A2474" s="71">
        <f t="shared" si="86"/>
        <v>118786</v>
      </c>
      <c r="B2474">
        <f t="shared" ca="1" si="87"/>
        <v>577</v>
      </c>
      <c r="C2474" t="s">
        <v>40</v>
      </c>
    </row>
    <row r="2475" spans="1:3" x14ac:dyDescent="0.25">
      <c r="A2475" s="71">
        <f t="shared" si="86"/>
        <v>118816</v>
      </c>
      <c r="B2475">
        <f t="shared" ca="1" si="87"/>
        <v>577</v>
      </c>
      <c r="C2475" t="s">
        <v>40</v>
      </c>
    </row>
    <row r="2476" spans="1:3" x14ac:dyDescent="0.25">
      <c r="A2476" s="71">
        <f t="shared" si="86"/>
        <v>118846</v>
      </c>
      <c r="B2476">
        <f t="shared" ca="1" si="87"/>
        <v>577</v>
      </c>
      <c r="C2476" t="s">
        <v>40</v>
      </c>
    </row>
    <row r="2477" spans="1:3" x14ac:dyDescent="0.25">
      <c r="A2477" s="71">
        <f t="shared" si="86"/>
        <v>118876</v>
      </c>
      <c r="B2477">
        <f t="shared" ca="1" si="87"/>
        <v>577</v>
      </c>
      <c r="C2477" t="s">
        <v>40</v>
      </c>
    </row>
    <row r="2478" spans="1:3" x14ac:dyDescent="0.25">
      <c r="A2478" s="71">
        <f t="shared" si="86"/>
        <v>118906</v>
      </c>
      <c r="B2478">
        <f t="shared" ca="1" si="87"/>
        <v>577</v>
      </c>
      <c r="C2478" t="s">
        <v>40</v>
      </c>
    </row>
    <row r="2479" spans="1:3" x14ac:dyDescent="0.25">
      <c r="A2479" s="71">
        <f t="shared" si="86"/>
        <v>118936</v>
      </c>
      <c r="B2479">
        <f t="shared" ca="1" si="87"/>
        <v>577</v>
      </c>
      <c r="C2479" t="s">
        <v>40</v>
      </c>
    </row>
    <row r="2480" spans="1:3" x14ac:dyDescent="0.25">
      <c r="A2480" s="71">
        <f t="shared" si="86"/>
        <v>118966</v>
      </c>
      <c r="B2480">
        <f t="shared" ca="1" si="87"/>
        <v>577</v>
      </c>
      <c r="C2480" t="s">
        <v>40</v>
      </c>
    </row>
    <row r="2481" spans="1:3" x14ac:dyDescent="0.25">
      <c r="A2481" s="71">
        <f t="shared" si="86"/>
        <v>118996</v>
      </c>
      <c r="B2481">
        <f t="shared" ca="1" si="87"/>
        <v>577</v>
      </c>
      <c r="C2481" t="s">
        <v>40</v>
      </c>
    </row>
    <row r="2482" spans="1:3" x14ac:dyDescent="0.25">
      <c r="A2482" s="71">
        <f t="shared" si="86"/>
        <v>119026</v>
      </c>
      <c r="B2482">
        <f t="shared" ca="1" si="87"/>
        <v>577</v>
      </c>
      <c r="C2482" t="s">
        <v>40</v>
      </c>
    </row>
    <row r="2483" spans="1:3" x14ac:dyDescent="0.25">
      <c r="A2483" s="71">
        <f t="shared" si="86"/>
        <v>119056</v>
      </c>
      <c r="B2483">
        <f t="shared" ca="1" si="87"/>
        <v>577</v>
      </c>
      <c r="C2483" t="s">
        <v>40</v>
      </c>
    </row>
    <row r="2484" spans="1:3" x14ac:dyDescent="0.25">
      <c r="A2484" s="71">
        <f t="shared" si="86"/>
        <v>119086</v>
      </c>
      <c r="B2484">
        <f t="shared" ca="1" si="87"/>
        <v>577</v>
      </c>
      <c r="C2484" t="s">
        <v>40</v>
      </c>
    </row>
    <row r="2485" spans="1:3" x14ac:dyDescent="0.25">
      <c r="A2485" s="71">
        <f t="shared" si="86"/>
        <v>119116</v>
      </c>
      <c r="B2485">
        <f t="shared" ca="1" si="87"/>
        <v>577</v>
      </c>
      <c r="C2485" t="s">
        <v>40</v>
      </c>
    </row>
    <row r="2486" spans="1:3" x14ac:dyDescent="0.25">
      <c r="A2486" s="71">
        <f t="shared" si="86"/>
        <v>119146</v>
      </c>
      <c r="B2486">
        <f t="shared" ca="1" si="87"/>
        <v>577</v>
      </c>
      <c r="C2486" t="s">
        <v>40</v>
      </c>
    </row>
    <row r="2487" spans="1:3" x14ac:dyDescent="0.25">
      <c r="A2487" s="71">
        <f t="shared" si="86"/>
        <v>119176</v>
      </c>
      <c r="B2487">
        <f t="shared" ca="1" si="87"/>
        <v>577</v>
      </c>
      <c r="C2487" t="s">
        <v>40</v>
      </c>
    </row>
    <row r="2488" spans="1:3" x14ac:dyDescent="0.25">
      <c r="A2488" s="71">
        <f t="shared" si="86"/>
        <v>119206</v>
      </c>
      <c r="B2488">
        <f t="shared" ca="1" si="87"/>
        <v>577</v>
      </c>
      <c r="C2488" t="s">
        <v>40</v>
      </c>
    </row>
    <row r="2489" spans="1:3" x14ac:dyDescent="0.25">
      <c r="A2489" s="71">
        <f t="shared" si="86"/>
        <v>119236</v>
      </c>
      <c r="B2489">
        <f t="shared" ca="1" si="87"/>
        <v>577</v>
      </c>
      <c r="C2489" t="s">
        <v>40</v>
      </c>
    </row>
    <row r="2490" spans="1:3" x14ac:dyDescent="0.25">
      <c r="A2490" s="71">
        <f t="shared" si="86"/>
        <v>119266</v>
      </c>
      <c r="B2490">
        <f t="shared" ca="1" si="87"/>
        <v>577</v>
      </c>
      <c r="C2490" t="s">
        <v>40</v>
      </c>
    </row>
    <row r="2491" spans="1:3" x14ac:dyDescent="0.25">
      <c r="A2491" s="71">
        <f t="shared" si="86"/>
        <v>119296</v>
      </c>
      <c r="B2491">
        <f t="shared" ca="1" si="87"/>
        <v>577</v>
      </c>
      <c r="C2491" t="s">
        <v>40</v>
      </c>
    </row>
    <row r="2492" spans="1:3" x14ac:dyDescent="0.25">
      <c r="A2492" s="71">
        <f t="shared" si="86"/>
        <v>119326</v>
      </c>
      <c r="B2492">
        <f t="shared" ca="1" si="87"/>
        <v>577</v>
      </c>
      <c r="C2492" t="s">
        <v>40</v>
      </c>
    </row>
    <row r="2493" spans="1:3" x14ac:dyDescent="0.25">
      <c r="A2493" s="71">
        <f t="shared" si="86"/>
        <v>119356</v>
      </c>
      <c r="B2493">
        <f t="shared" ca="1" si="87"/>
        <v>577</v>
      </c>
      <c r="C2493" t="s">
        <v>40</v>
      </c>
    </row>
    <row r="2494" spans="1:3" x14ac:dyDescent="0.25">
      <c r="A2494" s="71">
        <f t="shared" si="86"/>
        <v>119386</v>
      </c>
      <c r="B2494">
        <f t="shared" ca="1" si="87"/>
        <v>577</v>
      </c>
      <c r="C2494" t="s">
        <v>40</v>
      </c>
    </row>
    <row r="2495" spans="1:3" x14ac:dyDescent="0.25">
      <c r="A2495" s="71">
        <f t="shared" si="86"/>
        <v>119416</v>
      </c>
      <c r="B2495">
        <f t="shared" ca="1" si="87"/>
        <v>577</v>
      </c>
      <c r="C2495" t="s">
        <v>40</v>
      </c>
    </row>
    <row r="2496" spans="1:3" x14ac:dyDescent="0.25">
      <c r="A2496" s="71">
        <f t="shared" si="86"/>
        <v>119446</v>
      </c>
      <c r="B2496">
        <f t="shared" ca="1" si="87"/>
        <v>577</v>
      </c>
      <c r="C2496" t="s">
        <v>40</v>
      </c>
    </row>
    <row r="2497" spans="1:3" x14ac:dyDescent="0.25">
      <c r="A2497" s="71">
        <f t="shared" si="86"/>
        <v>119476</v>
      </c>
      <c r="B2497">
        <f t="shared" ca="1" si="87"/>
        <v>577</v>
      </c>
      <c r="C2497" t="s">
        <v>40</v>
      </c>
    </row>
    <row r="2498" spans="1:3" x14ac:dyDescent="0.25">
      <c r="A2498" s="71">
        <f t="shared" si="86"/>
        <v>119506</v>
      </c>
      <c r="B2498">
        <f t="shared" ca="1" si="87"/>
        <v>577</v>
      </c>
      <c r="C2498" t="s">
        <v>40</v>
      </c>
    </row>
    <row r="2499" spans="1:3" x14ac:dyDescent="0.25">
      <c r="A2499" s="71">
        <f t="shared" si="86"/>
        <v>119536</v>
      </c>
      <c r="B2499">
        <f t="shared" ca="1" si="87"/>
        <v>577</v>
      </c>
      <c r="C2499" t="s">
        <v>40</v>
      </c>
    </row>
    <row r="2500" spans="1:3" x14ac:dyDescent="0.25">
      <c r="A2500" s="71">
        <f t="shared" si="86"/>
        <v>119566</v>
      </c>
      <c r="B2500">
        <f t="shared" ca="1" si="87"/>
        <v>577</v>
      </c>
      <c r="C2500" t="s">
        <v>40</v>
      </c>
    </row>
    <row r="2501" spans="1:3" x14ac:dyDescent="0.25">
      <c r="A2501" s="71">
        <f t="shared" si="86"/>
        <v>119596</v>
      </c>
      <c r="B2501">
        <f t="shared" ca="1" si="87"/>
        <v>577</v>
      </c>
      <c r="C2501" t="s">
        <v>40</v>
      </c>
    </row>
    <row r="2502" spans="1:3" x14ac:dyDescent="0.25">
      <c r="A2502" s="71">
        <f t="shared" si="86"/>
        <v>119626</v>
      </c>
      <c r="B2502">
        <f t="shared" ca="1" si="87"/>
        <v>577</v>
      </c>
      <c r="C2502" t="s">
        <v>40</v>
      </c>
    </row>
    <row r="2503" spans="1:3" x14ac:dyDescent="0.25">
      <c r="A2503" s="71">
        <f t="shared" si="86"/>
        <v>119656</v>
      </c>
      <c r="B2503">
        <f t="shared" ca="1" si="87"/>
        <v>577</v>
      </c>
      <c r="C2503" t="s">
        <v>40</v>
      </c>
    </row>
    <row r="2504" spans="1:3" x14ac:dyDescent="0.25">
      <c r="A2504" s="71">
        <f t="shared" si="86"/>
        <v>119686</v>
      </c>
      <c r="B2504">
        <f t="shared" ca="1" si="87"/>
        <v>577</v>
      </c>
      <c r="C2504" t="s">
        <v>40</v>
      </c>
    </row>
    <row r="2505" spans="1:3" x14ac:dyDescent="0.25">
      <c r="A2505" s="71">
        <f t="shared" si="86"/>
        <v>119716</v>
      </c>
      <c r="B2505">
        <f t="shared" ca="1" si="87"/>
        <v>577</v>
      </c>
      <c r="C2505" t="s">
        <v>40</v>
      </c>
    </row>
    <row r="2506" spans="1:3" x14ac:dyDescent="0.25">
      <c r="A2506" s="71">
        <f t="shared" si="86"/>
        <v>119746</v>
      </c>
      <c r="B2506">
        <f t="shared" ca="1" si="87"/>
        <v>577</v>
      </c>
      <c r="C2506" t="s">
        <v>40</v>
      </c>
    </row>
    <row r="2507" spans="1:3" x14ac:dyDescent="0.25">
      <c r="A2507" s="71">
        <f t="shared" si="86"/>
        <v>119776</v>
      </c>
      <c r="B2507">
        <f t="shared" ca="1" si="87"/>
        <v>577</v>
      </c>
      <c r="C2507" t="s">
        <v>40</v>
      </c>
    </row>
    <row r="2508" spans="1:3" x14ac:dyDescent="0.25">
      <c r="A2508" s="71">
        <f t="shared" ref="A2508:A2571" si="88">A2507+30</f>
        <v>119806</v>
      </c>
      <c r="B2508">
        <f t="shared" ref="B2508:B2571" ca="1" si="89">B2507</f>
        <v>577</v>
      </c>
      <c r="C2508" t="s">
        <v>40</v>
      </c>
    </row>
    <row r="2509" spans="1:3" x14ac:dyDescent="0.25">
      <c r="A2509" s="71">
        <f t="shared" si="88"/>
        <v>119836</v>
      </c>
      <c r="B2509">
        <f t="shared" ca="1" si="89"/>
        <v>577</v>
      </c>
      <c r="C2509" t="s">
        <v>40</v>
      </c>
    </row>
    <row r="2510" spans="1:3" x14ac:dyDescent="0.25">
      <c r="A2510" s="71">
        <f t="shared" si="88"/>
        <v>119866</v>
      </c>
      <c r="B2510">
        <f t="shared" ca="1" si="89"/>
        <v>577</v>
      </c>
      <c r="C2510" t="s">
        <v>40</v>
      </c>
    </row>
    <row r="2511" spans="1:3" x14ac:dyDescent="0.25">
      <c r="A2511" s="71">
        <f t="shared" si="88"/>
        <v>119896</v>
      </c>
      <c r="B2511">
        <f t="shared" ca="1" si="89"/>
        <v>577</v>
      </c>
      <c r="C2511" t="s">
        <v>40</v>
      </c>
    </row>
    <row r="2512" spans="1:3" x14ac:dyDescent="0.25">
      <c r="A2512" s="71">
        <f t="shared" si="88"/>
        <v>119926</v>
      </c>
      <c r="B2512">
        <f t="shared" ca="1" si="89"/>
        <v>577</v>
      </c>
      <c r="C2512" t="s">
        <v>40</v>
      </c>
    </row>
    <row r="2513" spans="1:3" x14ac:dyDescent="0.25">
      <c r="A2513" s="71">
        <f t="shared" si="88"/>
        <v>119956</v>
      </c>
      <c r="B2513">
        <f t="shared" ca="1" si="89"/>
        <v>577</v>
      </c>
      <c r="C2513" t="s">
        <v>40</v>
      </c>
    </row>
    <row r="2514" spans="1:3" x14ac:dyDescent="0.25">
      <c r="A2514" s="71">
        <f t="shared" si="88"/>
        <v>119986</v>
      </c>
      <c r="B2514">
        <f t="shared" ca="1" si="89"/>
        <v>577</v>
      </c>
      <c r="C2514" t="s">
        <v>40</v>
      </c>
    </row>
    <row r="2515" spans="1:3" x14ac:dyDescent="0.25">
      <c r="A2515" s="71">
        <f t="shared" si="88"/>
        <v>120016</v>
      </c>
      <c r="B2515">
        <f t="shared" ca="1" si="89"/>
        <v>577</v>
      </c>
      <c r="C2515" t="s">
        <v>40</v>
      </c>
    </row>
    <row r="2516" spans="1:3" x14ac:dyDescent="0.25">
      <c r="A2516" s="71">
        <f t="shared" si="88"/>
        <v>120046</v>
      </c>
      <c r="B2516">
        <f t="shared" ca="1" si="89"/>
        <v>577</v>
      </c>
      <c r="C2516" t="s">
        <v>40</v>
      </c>
    </row>
    <row r="2517" spans="1:3" x14ac:dyDescent="0.25">
      <c r="A2517" s="71">
        <f t="shared" si="88"/>
        <v>120076</v>
      </c>
      <c r="B2517">
        <f t="shared" ca="1" si="89"/>
        <v>577</v>
      </c>
      <c r="C2517" t="s">
        <v>40</v>
      </c>
    </row>
    <row r="2518" spans="1:3" x14ac:dyDescent="0.25">
      <c r="A2518" s="71">
        <f t="shared" si="88"/>
        <v>120106</v>
      </c>
      <c r="B2518">
        <f t="shared" ca="1" si="89"/>
        <v>577</v>
      </c>
      <c r="C2518" t="s">
        <v>40</v>
      </c>
    </row>
    <row r="2519" spans="1:3" x14ac:dyDescent="0.25">
      <c r="A2519" s="71">
        <f t="shared" si="88"/>
        <v>120136</v>
      </c>
      <c r="B2519">
        <f t="shared" ca="1" si="89"/>
        <v>577</v>
      </c>
      <c r="C2519" t="s">
        <v>40</v>
      </c>
    </row>
    <row r="2520" spans="1:3" x14ac:dyDescent="0.25">
      <c r="A2520" s="71">
        <f t="shared" si="88"/>
        <v>120166</v>
      </c>
      <c r="B2520">
        <f t="shared" ca="1" si="89"/>
        <v>577</v>
      </c>
      <c r="C2520" t="s">
        <v>40</v>
      </c>
    </row>
    <row r="2521" spans="1:3" x14ac:dyDescent="0.25">
      <c r="A2521" s="71">
        <f t="shared" si="88"/>
        <v>120196</v>
      </c>
      <c r="B2521">
        <f t="shared" ca="1" si="89"/>
        <v>577</v>
      </c>
      <c r="C2521" t="s">
        <v>40</v>
      </c>
    </row>
    <row r="2522" spans="1:3" x14ac:dyDescent="0.25">
      <c r="A2522" s="71">
        <f t="shared" si="88"/>
        <v>120226</v>
      </c>
      <c r="B2522">
        <f t="shared" ca="1" si="89"/>
        <v>577</v>
      </c>
      <c r="C2522" t="s">
        <v>40</v>
      </c>
    </row>
    <row r="2523" spans="1:3" x14ac:dyDescent="0.25">
      <c r="A2523" s="71">
        <f t="shared" si="88"/>
        <v>120256</v>
      </c>
      <c r="B2523">
        <f t="shared" ca="1" si="89"/>
        <v>577</v>
      </c>
      <c r="C2523" t="s">
        <v>40</v>
      </c>
    </row>
    <row r="2524" spans="1:3" x14ac:dyDescent="0.25">
      <c r="A2524" s="71">
        <f t="shared" si="88"/>
        <v>120286</v>
      </c>
      <c r="B2524">
        <f t="shared" ca="1" si="89"/>
        <v>577</v>
      </c>
      <c r="C2524" t="s">
        <v>40</v>
      </c>
    </row>
    <row r="2525" spans="1:3" x14ac:dyDescent="0.25">
      <c r="A2525" s="71">
        <f t="shared" si="88"/>
        <v>120316</v>
      </c>
      <c r="B2525">
        <f t="shared" ca="1" si="89"/>
        <v>577</v>
      </c>
      <c r="C2525" t="s">
        <v>40</v>
      </c>
    </row>
    <row r="2526" spans="1:3" x14ac:dyDescent="0.25">
      <c r="A2526" s="71">
        <f t="shared" si="88"/>
        <v>120346</v>
      </c>
      <c r="B2526">
        <f t="shared" ca="1" si="89"/>
        <v>577</v>
      </c>
      <c r="C2526" t="s">
        <v>40</v>
      </c>
    </row>
    <row r="2527" spans="1:3" x14ac:dyDescent="0.25">
      <c r="A2527" s="71">
        <f t="shared" si="88"/>
        <v>120376</v>
      </c>
      <c r="B2527">
        <f t="shared" ca="1" si="89"/>
        <v>577</v>
      </c>
      <c r="C2527" t="s">
        <v>40</v>
      </c>
    </row>
    <row r="2528" spans="1:3" x14ac:dyDescent="0.25">
      <c r="A2528" s="71">
        <f t="shared" si="88"/>
        <v>120406</v>
      </c>
      <c r="B2528">
        <f t="shared" ca="1" si="89"/>
        <v>577</v>
      </c>
      <c r="C2528" t="s">
        <v>40</v>
      </c>
    </row>
    <row r="2529" spans="1:3" x14ac:dyDescent="0.25">
      <c r="A2529" s="71">
        <f t="shared" si="88"/>
        <v>120436</v>
      </c>
      <c r="B2529">
        <f t="shared" ca="1" si="89"/>
        <v>577</v>
      </c>
      <c r="C2529" t="s">
        <v>40</v>
      </c>
    </row>
    <row r="2530" spans="1:3" x14ac:dyDescent="0.25">
      <c r="A2530" s="71">
        <f t="shared" si="88"/>
        <v>120466</v>
      </c>
      <c r="B2530">
        <f t="shared" ca="1" si="89"/>
        <v>577</v>
      </c>
      <c r="C2530" t="s">
        <v>40</v>
      </c>
    </row>
    <row r="2531" spans="1:3" x14ac:dyDescent="0.25">
      <c r="A2531" s="71">
        <f t="shared" si="88"/>
        <v>120496</v>
      </c>
      <c r="B2531">
        <f t="shared" ca="1" si="89"/>
        <v>577</v>
      </c>
      <c r="C2531" t="s">
        <v>40</v>
      </c>
    </row>
    <row r="2532" spans="1:3" x14ac:dyDescent="0.25">
      <c r="A2532" s="71">
        <f t="shared" si="88"/>
        <v>120526</v>
      </c>
      <c r="B2532">
        <f t="shared" ca="1" si="89"/>
        <v>577</v>
      </c>
      <c r="C2532" t="s">
        <v>40</v>
      </c>
    </row>
    <row r="2533" spans="1:3" x14ac:dyDescent="0.25">
      <c r="A2533" s="71">
        <f t="shared" si="88"/>
        <v>120556</v>
      </c>
      <c r="B2533">
        <f t="shared" ca="1" si="89"/>
        <v>577</v>
      </c>
      <c r="C2533" t="s">
        <v>40</v>
      </c>
    </row>
    <row r="2534" spans="1:3" x14ac:dyDescent="0.25">
      <c r="A2534" s="71">
        <f t="shared" si="88"/>
        <v>120586</v>
      </c>
      <c r="B2534">
        <f t="shared" ca="1" si="89"/>
        <v>577</v>
      </c>
      <c r="C2534" t="s">
        <v>40</v>
      </c>
    </row>
    <row r="2535" spans="1:3" x14ac:dyDescent="0.25">
      <c r="A2535" s="71">
        <f t="shared" si="88"/>
        <v>120616</v>
      </c>
      <c r="B2535">
        <f t="shared" ca="1" si="89"/>
        <v>577</v>
      </c>
      <c r="C2535" t="s">
        <v>40</v>
      </c>
    </row>
    <row r="2536" spans="1:3" x14ac:dyDescent="0.25">
      <c r="A2536" s="71">
        <f t="shared" si="88"/>
        <v>120646</v>
      </c>
      <c r="B2536">
        <f t="shared" ca="1" si="89"/>
        <v>577</v>
      </c>
      <c r="C2536" t="s">
        <v>40</v>
      </c>
    </row>
    <row r="2537" spans="1:3" x14ac:dyDescent="0.25">
      <c r="A2537" s="71">
        <f t="shared" si="88"/>
        <v>120676</v>
      </c>
      <c r="B2537">
        <f t="shared" ca="1" si="89"/>
        <v>577</v>
      </c>
      <c r="C2537" t="s">
        <v>40</v>
      </c>
    </row>
    <row r="2538" spans="1:3" x14ac:dyDescent="0.25">
      <c r="A2538" s="71">
        <f t="shared" si="88"/>
        <v>120706</v>
      </c>
      <c r="B2538">
        <f t="shared" ca="1" si="89"/>
        <v>577</v>
      </c>
      <c r="C2538" t="s">
        <v>40</v>
      </c>
    </row>
    <row r="2539" spans="1:3" x14ac:dyDescent="0.25">
      <c r="A2539" s="71">
        <f t="shared" si="88"/>
        <v>120736</v>
      </c>
      <c r="B2539">
        <f t="shared" ca="1" si="89"/>
        <v>577</v>
      </c>
      <c r="C2539" t="s">
        <v>40</v>
      </c>
    </row>
    <row r="2540" spans="1:3" x14ac:dyDescent="0.25">
      <c r="A2540" s="71">
        <f t="shared" si="88"/>
        <v>120766</v>
      </c>
      <c r="B2540">
        <f t="shared" ca="1" si="89"/>
        <v>577</v>
      </c>
      <c r="C2540" t="s">
        <v>40</v>
      </c>
    </row>
    <row r="2541" spans="1:3" x14ac:dyDescent="0.25">
      <c r="A2541" s="71">
        <f t="shared" si="88"/>
        <v>120796</v>
      </c>
      <c r="B2541">
        <f t="shared" ca="1" si="89"/>
        <v>577</v>
      </c>
      <c r="C2541" t="s">
        <v>40</v>
      </c>
    </row>
    <row r="2542" spans="1:3" x14ac:dyDescent="0.25">
      <c r="A2542" s="71">
        <f t="shared" si="88"/>
        <v>120826</v>
      </c>
      <c r="B2542">
        <f t="shared" ca="1" si="89"/>
        <v>577</v>
      </c>
      <c r="C2542" t="s">
        <v>40</v>
      </c>
    </row>
    <row r="2543" spans="1:3" x14ac:dyDescent="0.25">
      <c r="A2543" s="71">
        <f t="shared" si="88"/>
        <v>120856</v>
      </c>
      <c r="B2543">
        <f t="shared" ca="1" si="89"/>
        <v>577</v>
      </c>
      <c r="C2543" t="s">
        <v>40</v>
      </c>
    </row>
    <row r="2544" spans="1:3" x14ac:dyDescent="0.25">
      <c r="A2544" s="71">
        <f t="shared" si="88"/>
        <v>120886</v>
      </c>
      <c r="B2544">
        <f t="shared" ca="1" si="89"/>
        <v>577</v>
      </c>
      <c r="C2544" t="s">
        <v>40</v>
      </c>
    </row>
    <row r="2545" spans="1:3" x14ac:dyDescent="0.25">
      <c r="A2545" s="71">
        <f t="shared" si="88"/>
        <v>120916</v>
      </c>
      <c r="B2545">
        <f t="shared" ca="1" si="89"/>
        <v>577</v>
      </c>
      <c r="C2545" t="s">
        <v>40</v>
      </c>
    </row>
    <row r="2546" spans="1:3" x14ac:dyDescent="0.25">
      <c r="A2546" s="71">
        <f t="shared" si="88"/>
        <v>120946</v>
      </c>
      <c r="B2546">
        <f t="shared" ca="1" si="89"/>
        <v>577</v>
      </c>
      <c r="C2546" t="s">
        <v>40</v>
      </c>
    </row>
    <row r="2547" spans="1:3" x14ac:dyDescent="0.25">
      <c r="A2547" s="71">
        <f t="shared" si="88"/>
        <v>120976</v>
      </c>
      <c r="B2547">
        <f t="shared" ca="1" si="89"/>
        <v>577</v>
      </c>
      <c r="C2547" t="s">
        <v>40</v>
      </c>
    </row>
    <row r="2548" spans="1:3" x14ac:dyDescent="0.25">
      <c r="A2548" s="71">
        <f t="shared" si="88"/>
        <v>121006</v>
      </c>
      <c r="B2548">
        <f t="shared" ca="1" si="89"/>
        <v>577</v>
      </c>
      <c r="C2548" t="s">
        <v>40</v>
      </c>
    </row>
    <row r="2549" spans="1:3" x14ac:dyDescent="0.25">
      <c r="A2549" s="71">
        <f t="shared" si="88"/>
        <v>121036</v>
      </c>
      <c r="B2549">
        <f t="shared" ca="1" si="89"/>
        <v>577</v>
      </c>
      <c r="C2549" t="s">
        <v>40</v>
      </c>
    </row>
    <row r="2550" spans="1:3" x14ac:dyDescent="0.25">
      <c r="A2550" s="71">
        <f t="shared" si="88"/>
        <v>121066</v>
      </c>
      <c r="B2550">
        <f t="shared" ca="1" si="89"/>
        <v>577</v>
      </c>
      <c r="C2550" t="s">
        <v>40</v>
      </c>
    </row>
    <row r="2551" spans="1:3" x14ac:dyDescent="0.25">
      <c r="A2551" s="71">
        <f t="shared" si="88"/>
        <v>121096</v>
      </c>
      <c r="B2551">
        <f t="shared" ca="1" si="89"/>
        <v>577</v>
      </c>
      <c r="C2551" t="s">
        <v>40</v>
      </c>
    </row>
    <row r="2552" spans="1:3" x14ac:dyDescent="0.25">
      <c r="A2552" s="71">
        <f t="shared" si="88"/>
        <v>121126</v>
      </c>
      <c r="B2552">
        <f t="shared" ca="1" si="89"/>
        <v>577</v>
      </c>
      <c r="C2552" t="s">
        <v>40</v>
      </c>
    </row>
    <row r="2553" spans="1:3" x14ac:dyDescent="0.25">
      <c r="A2553" s="71">
        <f t="shared" si="88"/>
        <v>121156</v>
      </c>
      <c r="B2553">
        <f t="shared" ca="1" si="89"/>
        <v>577</v>
      </c>
      <c r="C2553" t="s">
        <v>40</v>
      </c>
    </row>
    <row r="2554" spans="1:3" x14ac:dyDescent="0.25">
      <c r="A2554" s="71">
        <f t="shared" si="88"/>
        <v>121186</v>
      </c>
      <c r="B2554">
        <f t="shared" ca="1" si="89"/>
        <v>577</v>
      </c>
      <c r="C2554" t="s">
        <v>40</v>
      </c>
    </row>
    <row r="2555" spans="1:3" x14ac:dyDescent="0.25">
      <c r="A2555" s="71">
        <f t="shared" si="88"/>
        <v>121216</v>
      </c>
      <c r="B2555">
        <f t="shared" ca="1" si="89"/>
        <v>577</v>
      </c>
      <c r="C2555" t="s">
        <v>40</v>
      </c>
    </row>
    <row r="2556" spans="1:3" x14ac:dyDescent="0.25">
      <c r="A2556" s="71">
        <f t="shared" si="88"/>
        <v>121246</v>
      </c>
      <c r="B2556">
        <f t="shared" ca="1" si="89"/>
        <v>577</v>
      </c>
      <c r="C2556" t="s">
        <v>40</v>
      </c>
    </row>
    <row r="2557" spans="1:3" x14ac:dyDescent="0.25">
      <c r="A2557" s="71">
        <f t="shared" si="88"/>
        <v>121276</v>
      </c>
      <c r="B2557">
        <f t="shared" ca="1" si="89"/>
        <v>577</v>
      </c>
      <c r="C2557" t="s">
        <v>40</v>
      </c>
    </row>
    <row r="2558" spans="1:3" x14ac:dyDescent="0.25">
      <c r="A2558" s="71">
        <f t="shared" si="88"/>
        <v>121306</v>
      </c>
      <c r="B2558">
        <f t="shared" ca="1" si="89"/>
        <v>577</v>
      </c>
      <c r="C2558" t="s">
        <v>40</v>
      </c>
    </row>
    <row r="2559" spans="1:3" x14ac:dyDescent="0.25">
      <c r="A2559" s="71">
        <f t="shared" si="88"/>
        <v>121336</v>
      </c>
      <c r="B2559">
        <f t="shared" ca="1" si="89"/>
        <v>577</v>
      </c>
      <c r="C2559" t="s">
        <v>40</v>
      </c>
    </row>
    <row r="2560" spans="1:3" x14ac:dyDescent="0.25">
      <c r="A2560" s="71">
        <f t="shared" si="88"/>
        <v>121366</v>
      </c>
      <c r="B2560">
        <f t="shared" ca="1" si="89"/>
        <v>577</v>
      </c>
      <c r="C2560" t="s">
        <v>40</v>
      </c>
    </row>
    <row r="2561" spans="1:3" x14ac:dyDescent="0.25">
      <c r="A2561" s="71">
        <f t="shared" si="88"/>
        <v>121396</v>
      </c>
      <c r="B2561">
        <f t="shared" ca="1" si="89"/>
        <v>577</v>
      </c>
      <c r="C2561" t="s">
        <v>40</v>
      </c>
    </row>
    <row r="2562" spans="1:3" x14ac:dyDescent="0.25">
      <c r="A2562" s="71">
        <f t="shared" si="88"/>
        <v>121426</v>
      </c>
      <c r="B2562">
        <f t="shared" ca="1" si="89"/>
        <v>577</v>
      </c>
      <c r="C2562" t="s">
        <v>40</v>
      </c>
    </row>
    <row r="2563" spans="1:3" x14ac:dyDescent="0.25">
      <c r="A2563" s="71">
        <f t="shared" si="88"/>
        <v>121456</v>
      </c>
      <c r="B2563">
        <f t="shared" ca="1" si="89"/>
        <v>577</v>
      </c>
      <c r="C2563" t="s">
        <v>40</v>
      </c>
    </row>
    <row r="2564" spans="1:3" x14ac:dyDescent="0.25">
      <c r="A2564" s="71">
        <f t="shared" si="88"/>
        <v>121486</v>
      </c>
      <c r="B2564">
        <f t="shared" ca="1" si="89"/>
        <v>577</v>
      </c>
      <c r="C2564" t="s">
        <v>40</v>
      </c>
    </row>
    <row r="2565" spans="1:3" x14ac:dyDescent="0.25">
      <c r="A2565" s="71">
        <f t="shared" si="88"/>
        <v>121516</v>
      </c>
      <c r="B2565">
        <f t="shared" ca="1" si="89"/>
        <v>577</v>
      </c>
      <c r="C2565" t="s">
        <v>40</v>
      </c>
    </row>
    <row r="2566" spans="1:3" x14ac:dyDescent="0.25">
      <c r="A2566" s="71">
        <f t="shared" si="88"/>
        <v>121546</v>
      </c>
      <c r="B2566">
        <f t="shared" ca="1" si="89"/>
        <v>577</v>
      </c>
      <c r="C2566" t="s">
        <v>40</v>
      </c>
    </row>
    <row r="2567" spans="1:3" x14ac:dyDescent="0.25">
      <c r="A2567" s="71">
        <f t="shared" si="88"/>
        <v>121576</v>
      </c>
      <c r="B2567">
        <f t="shared" ca="1" si="89"/>
        <v>577</v>
      </c>
      <c r="C2567" t="s">
        <v>40</v>
      </c>
    </row>
    <row r="2568" spans="1:3" x14ac:dyDescent="0.25">
      <c r="A2568" s="71">
        <f t="shared" si="88"/>
        <v>121606</v>
      </c>
      <c r="B2568">
        <f t="shared" ca="1" si="89"/>
        <v>577</v>
      </c>
      <c r="C2568" t="s">
        <v>40</v>
      </c>
    </row>
    <row r="2569" spans="1:3" x14ac:dyDescent="0.25">
      <c r="A2569" s="71">
        <f t="shared" si="88"/>
        <v>121636</v>
      </c>
      <c r="B2569">
        <f t="shared" ca="1" si="89"/>
        <v>577</v>
      </c>
      <c r="C2569" t="s">
        <v>40</v>
      </c>
    </row>
    <row r="2570" spans="1:3" x14ac:dyDescent="0.25">
      <c r="A2570" s="71">
        <f t="shared" si="88"/>
        <v>121666</v>
      </c>
      <c r="B2570">
        <f t="shared" ca="1" si="89"/>
        <v>577</v>
      </c>
      <c r="C2570" t="s">
        <v>40</v>
      </c>
    </row>
    <row r="2571" spans="1:3" x14ac:dyDescent="0.25">
      <c r="A2571" s="71">
        <f t="shared" si="88"/>
        <v>121696</v>
      </c>
      <c r="B2571">
        <f t="shared" ca="1" si="89"/>
        <v>577</v>
      </c>
      <c r="C2571" t="s">
        <v>40</v>
      </c>
    </row>
    <row r="2572" spans="1:3" x14ac:dyDescent="0.25">
      <c r="A2572" s="71">
        <f t="shared" ref="A2572:A2635" si="90">A2571+30</f>
        <v>121726</v>
      </c>
      <c r="B2572">
        <f t="shared" ref="B2572:B2635" ca="1" si="91">B2571</f>
        <v>577</v>
      </c>
      <c r="C2572" t="s">
        <v>40</v>
      </c>
    </row>
    <row r="2573" spans="1:3" x14ac:dyDescent="0.25">
      <c r="A2573" s="71">
        <f t="shared" si="90"/>
        <v>121756</v>
      </c>
      <c r="B2573">
        <f t="shared" ca="1" si="91"/>
        <v>577</v>
      </c>
      <c r="C2573" t="s">
        <v>40</v>
      </c>
    </row>
    <row r="2574" spans="1:3" x14ac:dyDescent="0.25">
      <c r="A2574" s="71">
        <f t="shared" si="90"/>
        <v>121786</v>
      </c>
      <c r="B2574">
        <f t="shared" ca="1" si="91"/>
        <v>577</v>
      </c>
      <c r="C2574" t="s">
        <v>40</v>
      </c>
    </row>
    <row r="2575" spans="1:3" x14ac:dyDescent="0.25">
      <c r="A2575" s="71">
        <f t="shared" si="90"/>
        <v>121816</v>
      </c>
      <c r="B2575">
        <f t="shared" ca="1" si="91"/>
        <v>577</v>
      </c>
      <c r="C2575" t="s">
        <v>40</v>
      </c>
    </row>
    <row r="2576" spans="1:3" x14ac:dyDescent="0.25">
      <c r="A2576" s="71">
        <f t="shared" si="90"/>
        <v>121846</v>
      </c>
      <c r="B2576">
        <f t="shared" ca="1" si="91"/>
        <v>577</v>
      </c>
      <c r="C2576" t="s">
        <v>40</v>
      </c>
    </row>
    <row r="2577" spans="1:3" x14ac:dyDescent="0.25">
      <c r="A2577" s="71">
        <f t="shared" si="90"/>
        <v>121876</v>
      </c>
      <c r="B2577">
        <f t="shared" ca="1" si="91"/>
        <v>577</v>
      </c>
      <c r="C2577" t="s">
        <v>40</v>
      </c>
    </row>
    <row r="2578" spans="1:3" x14ac:dyDescent="0.25">
      <c r="A2578" s="71">
        <f t="shared" si="90"/>
        <v>121906</v>
      </c>
      <c r="B2578">
        <f t="shared" ca="1" si="91"/>
        <v>577</v>
      </c>
      <c r="C2578" t="s">
        <v>40</v>
      </c>
    </row>
    <row r="2579" spans="1:3" x14ac:dyDescent="0.25">
      <c r="A2579" s="71">
        <f t="shared" si="90"/>
        <v>121936</v>
      </c>
      <c r="B2579">
        <f t="shared" ca="1" si="91"/>
        <v>577</v>
      </c>
      <c r="C2579" t="s">
        <v>40</v>
      </c>
    </row>
    <row r="2580" spans="1:3" x14ac:dyDescent="0.25">
      <c r="A2580" s="71">
        <f t="shared" si="90"/>
        <v>121966</v>
      </c>
      <c r="B2580">
        <f t="shared" ca="1" si="91"/>
        <v>577</v>
      </c>
      <c r="C2580" t="s">
        <v>40</v>
      </c>
    </row>
    <row r="2581" spans="1:3" x14ac:dyDescent="0.25">
      <c r="A2581" s="71">
        <f t="shared" si="90"/>
        <v>121996</v>
      </c>
      <c r="B2581">
        <f t="shared" ca="1" si="91"/>
        <v>577</v>
      </c>
      <c r="C2581" t="s">
        <v>40</v>
      </c>
    </row>
    <row r="2582" spans="1:3" x14ac:dyDescent="0.25">
      <c r="A2582" s="71">
        <f t="shared" si="90"/>
        <v>122026</v>
      </c>
      <c r="B2582">
        <f t="shared" ca="1" si="91"/>
        <v>577</v>
      </c>
      <c r="C2582" t="s">
        <v>40</v>
      </c>
    </row>
    <row r="2583" spans="1:3" x14ac:dyDescent="0.25">
      <c r="A2583" s="71">
        <f t="shared" si="90"/>
        <v>122056</v>
      </c>
      <c r="B2583">
        <f t="shared" ca="1" si="91"/>
        <v>577</v>
      </c>
      <c r="C2583" t="s">
        <v>40</v>
      </c>
    </row>
    <row r="2584" spans="1:3" x14ac:dyDescent="0.25">
      <c r="A2584" s="71">
        <f t="shared" si="90"/>
        <v>122086</v>
      </c>
      <c r="B2584">
        <f t="shared" ca="1" si="91"/>
        <v>577</v>
      </c>
      <c r="C2584" t="s">
        <v>40</v>
      </c>
    </row>
    <row r="2585" spans="1:3" x14ac:dyDescent="0.25">
      <c r="A2585" s="71">
        <f t="shared" si="90"/>
        <v>122116</v>
      </c>
      <c r="B2585">
        <f t="shared" ca="1" si="91"/>
        <v>577</v>
      </c>
      <c r="C2585" t="s">
        <v>40</v>
      </c>
    </row>
    <row r="2586" spans="1:3" x14ac:dyDescent="0.25">
      <c r="A2586" s="71">
        <f t="shared" si="90"/>
        <v>122146</v>
      </c>
      <c r="B2586">
        <f t="shared" ca="1" si="91"/>
        <v>577</v>
      </c>
      <c r="C2586" t="s">
        <v>40</v>
      </c>
    </row>
    <row r="2587" spans="1:3" x14ac:dyDescent="0.25">
      <c r="A2587" s="71">
        <f t="shared" si="90"/>
        <v>122176</v>
      </c>
      <c r="B2587">
        <f t="shared" ca="1" si="91"/>
        <v>577</v>
      </c>
      <c r="C2587" t="s">
        <v>40</v>
      </c>
    </row>
    <row r="2588" spans="1:3" x14ac:dyDescent="0.25">
      <c r="A2588" s="71">
        <f t="shared" si="90"/>
        <v>122206</v>
      </c>
      <c r="B2588">
        <f t="shared" ca="1" si="91"/>
        <v>577</v>
      </c>
      <c r="C2588" t="s">
        <v>40</v>
      </c>
    </row>
    <row r="2589" spans="1:3" x14ac:dyDescent="0.25">
      <c r="A2589" s="71">
        <f t="shared" si="90"/>
        <v>122236</v>
      </c>
      <c r="B2589">
        <f t="shared" ca="1" si="91"/>
        <v>577</v>
      </c>
      <c r="C2589" t="s">
        <v>40</v>
      </c>
    </row>
    <row r="2590" spans="1:3" x14ac:dyDescent="0.25">
      <c r="A2590" s="71">
        <f t="shared" si="90"/>
        <v>122266</v>
      </c>
      <c r="B2590">
        <f t="shared" ca="1" si="91"/>
        <v>577</v>
      </c>
      <c r="C2590" t="s">
        <v>40</v>
      </c>
    </row>
    <row r="2591" spans="1:3" x14ac:dyDescent="0.25">
      <c r="A2591" s="71">
        <f t="shared" si="90"/>
        <v>122296</v>
      </c>
      <c r="B2591">
        <f t="shared" ca="1" si="91"/>
        <v>577</v>
      </c>
      <c r="C2591" t="s">
        <v>40</v>
      </c>
    </row>
    <row r="2592" spans="1:3" x14ac:dyDescent="0.25">
      <c r="A2592" s="71">
        <f t="shared" si="90"/>
        <v>122326</v>
      </c>
      <c r="B2592">
        <f t="shared" ca="1" si="91"/>
        <v>577</v>
      </c>
      <c r="C2592" t="s">
        <v>40</v>
      </c>
    </row>
    <row r="2593" spans="1:3" x14ac:dyDescent="0.25">
      <c r="A2593" s="71">
        <f t="shared" si="90"/>
        <v>122356</v>
      </c>
      <c r="B2593">
        <f t="shared" ca="1" si="91"/>
        <v>577</v>
      </c>
      <c r="C2593" t="s">
        <v>40</v>
      </c>
    </row>
    <row r="2594" spans="1:3" x14ac:dyDescent="0.25">
      <c r="A2594" s="71">
        <f t="shared" si="90"/>
        <v>122386</v>
      </c>
      <c r="B2594">
        <f t="shared" ca="1" si="91"/>
        <v>577</v>
      </c>
      <c r="C2594" t="s">
        <v>40</v>
      </c>
    </row>
    <row r="2595" spans="1:3" x14ac:dyDescent="0.25">
      <c r="A2595" s="71">
        <f t="shared" si="90"/>
        <v>122416</v>
      </c>
      <c r="B2595">
        <f t="shared" ca="1" si="91"/>
        <v>577</v>
      </c>
      <c r="C2595" t="s">
        <v>40</v>
      </c>
    </row>
    <row r="2596" spans="1:3" x14ac:dyDescent="0.25">
      <c r="A2596" s="71">
        <f t="shared" si="90"/>
        <v>122446</v>
      </c>
      <c r="B2596">
        <f t="shared" ca="1" si="91"/>
        <v>577</v>
      </c>
      <c r="C2596" t="s">
        <v>40</v>
      </c>
    </row>
    <row r="2597" spans="1:3" x14ac:dyDescent="0.25">
      <c r="A2597" s="71">
        <f t="shared" si="90"/>
        <v>122476</v>
      </c>
      <c r="B2597">
        <f t="shared" ca="1" si="91"/>
        <v>577</v>
      </c>
      <c r="C2597" t="s">
        <v>40</v>
      </c>
    </row>
    <row r="2598" spans="1:3" x14ac:dyDescent="0.25">
      <c r="A2598" s="71">
        <f t="shared" si="90"/>
        <v>122506</v>
      </c>
      <c r="B2598">
        <f t="shared" ca="1" si="91"/>
        <v>577</v>
      </c>
      <c r="C2598" t="s">
        <v>40</v>
      </c>
    </row>
    <row r="2599" spans="1:3" x14ac:dyDescent="0.25">
      <c r="A2599" s="71">
        <f t="shared" si="90"/>
        <v>122536</v>
      </c>
      <c r="B2599">
        <f t="shared" ca="1" si="91"/>
        <v>577</v>
      </c>
      <c r="C2599" t="s">
        <v>40</v>
      </c>
    </row>
    <row r="2600" spans="1:3" x14ac:dyDescent="0.25">
      <c r="A2600" s="71">
        <f t="shared" si="90"/>
        <v>122566</v>
      </c>
      <c r="B2600">
        <f t="shared" ca="1" si="91"/>
        <v>577</v>
      </c>
      <c r="C2600" t="s">
        <v>40</v>
      </c>
    </row>
    <row r="2601" spans="1:3" x14ac:dyDescent="0.25">
      <c r="A2601" s="71">
        <f t="shared" si="90"/>
        <v>122596</v>
      </c>
      <c r="B2601">
        <f t="shared" ca="1" si="91"/>
        <v>577</v>
      </c>
      <c r="C2601" t="s">
        <v>40</v>
      </c>
    </row>
    <row r="2602" spans="1:3" x14ac:dyDescent="0.25">
      <c r="A2602" s="71">
        <f t="shared" si="90"/>
        <v>122626</v>
      </c>
      <c r="B2602">
        <f t="shared" ca="1" si="91"/>
        <v>577</v>
      </c>
      <c r="C2602" t="s">
        <v>40</v>
      </c>
    </row>
    <row r="2603" spans="1:3" x14ac:dyDescent="0.25">
      <c r="A2603" s="71">
        <f t="shared" si="90"/>
        <v>122656</v>
      </c>
      <c r="B2603">
        <f t="shared" ca="1" si="91"/>
        <v>577</v>
      </c>
      <c r="C2603" t="s">
        <v>40</v>
      </c>
    </row>
    <row r="2604" spans="1:3" x14ac:dyDescent="0.25">
      <c r="A2604" s="71">
        <f t="shared" si="90"/>
        <v>122686</v>
      </c>
      <c r="B2604">
        <f t="shared" ca="1" si="91"/>
        <v>577</v>
      </c>
      <c r="C2604" t="s">
        <v>40</v>
      </c>
    </row>
    <row r="2605" spans="1:3" x14ac:dyDescent="0.25">
      <c r="A2605" s="71">
        <f t="shared" si="90"/>
        <v>122716</v>
      </c>
      <c r="B2605">
        <f t="shared" ca="1" si="91"/>
        <v>577</v>
      </c>
      <c r="C2605" t="s">
        <v>40</v>
      </c>
    </row>
    <row r="2606" spans="1:3" x14ac:dyDescent="0.25">
      <c r="A2606" s="71">
        <f t="shared" si="90"/>
        <v>122746</v>
      </c>
      <c r="B2606">
        <f t="shared" ca="1" si="91"/>
        <v>577</v>
      </c>
      <c r="C2606" t="s">
        <v>40</v>
      </c>
    </row>
    <row r="2607" spans="1:3" x14ac:dyDescent="0.25">
      <c r="A2607" s="71">
        <f t="shared" si="90"/>
        <v>122776</v>
      </c>
      <c r="B2607">
        <f t="shared" ca="1" si="91"/>
        <v>577</v>
      </c>
      <c r="C2607" t="s">
        <v>40</v>
      </c>
    </row>
    <row r="2608" spans="1:3" x14ac:dyDescent="0.25">
      <c r="A2608" s="71">
        <f t="shared" si="90"/>
        <v>122806</v>
      </c>
      <c r="B2608">
        <f t="shared" ca="1" si="91"/>
        <v>577</v>
      </c>
      <c r="C2608" t="s">
        <v>40</v>
      </c>
    </row>
    <row r="2609" spans="1:3" x14ac:dyDescent="0.25">
      <c r="A2609" s="71">
        <f t="shared" si="90"/>
        <v>122836</v>
      </c>
      <c r="B2609">
        <f t="shared" ca="1" si="91"/>
        <v>577</v>
      </c>
      <c r="C2609" t="s">
        <v>40</v>
      </c>
    </row>
    <row r="2610" spans="1:3" x14ac:dyDescent="0.25">
      <c r="A2610" s="71">
        <f t="shared" si="90"/>
        <v>122866</v>
      </c>
      <c r="B2610">
        <f t="shared" ca="1" si="91"/>
        <v>577</v>
      </c>
      <c r="C2610" t="s">
        <v>40</v>
      </c>
    </row>
    <row r="2611" spans="1:3" x14ac:dyDescent="0.25">
      <c r="A2611" s="71">
        <f t="shared" si="90"/>
        <v>122896</v>
      </c>
      <c r="B2611">
        <f t="shared" ca="1" si="91"/>
        <v>577</v>
      </c>
      <c r="C2611" t="s">
        <v>40</v>
      </c>
    </row>
    <row r="2612" spans="1:3" x14ac:dyDescent="0.25">
      <c r="A2612" s="71">
        <f t="shared" si="90"/>
        <v>122926</v>
      </c>
      <c r="B2612">
        <f t="shared" ca="1" si="91"/>
        <v>577</v>
      </c>
      <c r="C2612" t="s">
        <v>40</v>
      </c>
    </row>
    <row r="2613" spans="1:3" x14ac:dyDescent="0.25">
      <c r="A2613" s="71">
        <f t="shared" si="90"/>
        <v>122956</v>
      </c>
      <c r="B2613">
        <f t="shared" ca="1" si="91"/>
        <v>577</v>
      </c>
      <c r="C2613" t="s">
        <v>40</v>
      </c>
    </row>
    <row r="2614" spans="1:3" x14ac:dyDescent="0.25">
      <c r="A2614" s="71">
        <f t="shared" si="90"/>
        <v>122986</v>
      </c>
      <c r="B2614">
        <f t="shared" ca="1" si="91"/>
        <v>577</v>
      </c>
      <c r="C2614" t="s">
        <v>40</v>
      </c>
    </row>
    <row r="2615" spans="1:3" x14ac:dyDescent="0.25">
      <c r="A2615" s="71">
        <f t="shared" si="90"/>
        <v>123016</v>
      </c>
      <c r="B2615">
        <f t="shared" ca="1" si="91"/>
        <v>577</v>
      </c>
      <c r="C2615" t="s">
        <v>40</v>
      </c>
    </row>
    <row r="2616" spans="1:3" x14ac:dyDescent="0.25">
      <c r="A2616" s="71">
        <f t="shared" si="90"/>
        <v>123046</v>
      </c>
      <c r="B2616">
        <f t="shared" ca="1" si="91"/>
        <v>577</v>
      </c>
      <c r="C2616" t="s">
        <v>40</v>
      </c>
    </row>
    <row r="2617" spans="1:3" x14ac:dyDescent="0.25">
      <c r="A2617" s="71">
        <f t="shared" si="90"/>
        <v>123076</v>
      </c>
      <c r="B2617">
        <f t="shared" ca="1" si="91"/>
        <v>577</v>
      </c>
      <c r="C2617" t="s">
        <v>40</v>
      </c>
    </row>
    <row r="2618" spans="1:3" x14ac:dyDescent="0.25">
      <c r="A2618" s="71">
        <f t="shared" si="90"/>
        <v>123106</v>
      </c>
      <c r="B2618">
        <f t="shared" ca="1" si="91"/>
        <v>577</v>
      </c>
      <c r="C2618" t="s">
        <v>40</v>
      </c>
    </row>
    <row r="2619" spans="1:3" x14ac:dyDescent="0.25">
      <c r="A2619" s="71">
        <f t="shared" si="90"/>
        <v>123136</v>
      </c>
      <c r="B2619">
        <f t="shared" ca="1" si="91"/>
        <v>577</v>
      </c>
      <c r="C2619" t="s">
        <v>40</v>
      </c>
    </row>
    <row r="2620" spans="1:3" x14ac:dyDescent="0.25">
      <c r="A2620" s="71">
        <f t="shared" si="90"/>
        <v>123166</v>
      </c>
      <c r="B2620">
        <f t="shared" ca="1" si="91"/>
        <v>577</v>
      </c>
      <c r="C2620" t="s">
        <v>40</v>
      </c>
    </row>
    <row r="2621" spans="1:3" x14ac:dyDescent="0.25">
      <c r="A2621" s="71">
        <f t="shared" si="90"/>
        <v>123196</v>
      </c>
      <c r="B2621">
        <f t="shared" ca="1" si="91"/>
        <v>577</v>
      </c>
      <c r="C2621" t="s">
        <v>40</v>
      </c>
    </row>
    <row r="2622" spans="1:3" x14ac:dyDescent="0.25">
      <c r="A2622" s="71">
        <f t="shared" si="90"/>
        <v>123226</v>
      </c>
      <c r="B2622">
        <f t="shared" ca="1" si="91"/>
        <v>577</v>
      </c>
      <c r="C2622" t="s">
        <v>40</v>
      </c>
    </row>
    <row r="2623" spans="1:3" x14ac:dyDescent="0.25">
      <c r="A2623" s="71">
        <f t="shared" si="90"/>
        <v>123256</v>
      </c>
      <c r="B2623">
        <f t="shared" ca="1" si="91"/>
        <v>577</v>
      </c>
      <c r="C2623" t="s">
        <v>40</v>
      </c>
    </row>
    <row r="2624" spans="1:3" x14ac:dyDescent="0.25">
      <c r="A2624" s="71">
        <f t="shared" si="90"/>
        <v>123286</v>
      </c>
      <c r="B2624">
        <f t="shared" ca="1" si="91"/>
        <v>577</v>
      </c>
      <c r="C2624" t="s">
        <v>40</v>
      </c>
    </row>
    <row r="2625" spans="1:3" x14ac:dyDescent="0.25">
      <c r="A2625" s="71">
        <f t="shared" si="90"/>
        <v>123316</v>
      </c>
      <c r="B2625">
        <f t="shared" ca="1" si="91"/>
        <v>577</v>
      </c>
      <c r="C2625" t="s">
        <v>40</v>
      </c>
    </row>
    <row r="2626" spans="1:3" x14ac:dyDescent="0.25">
      <c r="A2626" s="71">
        <f t="shared" si="90"/>
        <v>123346</v>
      </c>
      <c r="B2626">
        <f t="shared" ca="1" si="91"/>
        <v>577</v>
      </c>
      <c r="C2626" t="s">
        <v>40</v>
      </c>
    </row>
    <row r="2627" spans="1:3" x14ac:dyDescent="0.25">
      <c r="A2627" s="71">
        <f t="shared" si="90"/>
        <v>123376</v>
      </c>
      <c r="B2627">
        <f t="shared" ca="1" si="91"/>
        <v>577</v>
      </c>
      <c r="C2627" t="s">
        <v>40</v>
      </c>
    </row>
    <row r="2628" spans="1:3" x14ac:dyDescent="0.25">
      <c r="A2628" s="71">
        <f t="shared" si="90"/>
        <v>123406</v>
      </c>
      <c r="B2628">
        <f t="shared" ca="1" si="91"/>
        <v>577</v>
      </c>
      <c r="C2628" t="s">
        <v>40</v>
      </c>
    </row>
    <row r="2629" spans="1:3" x14ac:dyDescent="0.25">
      <c r="A2629" s="71">
        <f t="shared" si="90"/>
        <v>123436</v>
      </c>
      <c r="B2629">
        <f t="shared" ca="1" si="91"/>
        <v>577</v>
      </c>
      <c r="C2629" t="s">
        <v>40</v>
      </c>
    </row>
    <row r="2630" spans="1:3" x14ac:dyDescent="0.25">
      <c r="A2630" s="71">
        <f t="shared" si="90"/>
        <v>123466</v>
      </c>
      <c r="B2630">
        <f t="shared" ca="1" si="91"/>
        <v>577</v>
      </c>
      <c r="C2630" t="s">
        <v>40</v>
      </c>
    </row>
    <row r="2631" spans="1:3" x14ac:dyDescent="0.25">
      <c r="A2631" s="71">
        <f t="shared" si="90"/>
        <v>123496</v>
      </c>
      <c r="B2631">
        <f t="shared" ca="1" si="91"/>
        <v>577</v>
      </c>
      <c r="C2631" t="s">
        <v>40</v>
      </c>
    </row>
    <row r="2632" spans="1:3" x14ac:dyDescent="0.25">
      <c r="A2632" s="71">
        <f t="shared" si="90"/>
        <v>123526</v>
      </c>
      <c r="B2632">
        <f t="shared" ca="1" si="91"/>
        <v>577</v>
      </c>
      <c r="C2632" t="s">
        <v>40</v>
      </c>
    </row>
    <row r="2633" spans="1:3" x14ac:dyDescent="0.25">
      <c r="A2633" s="71">
        <f t="shared" si="90"/>
        <v>123556</v>
      </c>
      <c r="B2633">
        <f t="shared" ca="1" si="91"/>
        <v>577</v>
      </c>
      <c r="C2633" t="s">
        <v>40</v>
      </c>
    </row>
    <row r="2634" spans="1:3" x14ac:dyDescent="0.25">
      <c r="A2634" s="71">
        <f t="shared" si="90"/>
        <v>123586</v>
      </c>
      <c r="B2634">
        <f t="shared" ca="1" si="91"/>
        <v>577</v>
      </c>
      <c r="C2634" t="s">
        <v>40</v>
      </c>
    </row>
    <row r="2635" spans="1:3" x14ac:dyDescent="0.25">
      <c r="A2635" s="71">
        <f t="shared" si="90"/>
        <v>123616</v>
      </c>
      <c r="B2635">
        <f t="shared" ca="1" si="91"/>
        <v>577</v>
      </c>
      <c r="C2635" t="s">
        <v>40</v>
      </c>
    </row>
    <row r="2636" spans="1:3" x14ac:dyDescent="0.25">
      <c r="A2636" s="71">
        <f t="shared" ref="A2636:A2699" si="92">A2635+30</f>
        <v>123646</v>
      </c>
      <c r="B2636">
        <f t="shared" ref="B2636:B2699" ca="1" si="93">B2635</f>
        <v>577</v>
      </c>
      <c r="C2636" t="s">
        <v>40</v>
      </c>
    </row>
    <row r="2637" spans="1:3" x14ac:dyDescent="0.25">
      <c r="A2637" s="71">
        <f t="shared" si="92"/>
        <v>123676</v>
      </c>
      <c r="B2637">
        <f t="shared" ca="1" si="93"/>
        <v>577</v>
      </c>
      <c r="C2637" t="s">
        <v>40</v>
      </c>
    </row>
    <row r="2638" spans="1:3" x14ac:dyDescent="0.25">
      <c r="A2638" s="71">
        <f t="shared" si="92"/>
        <v>123706</v>
      </c>
      <c r="B2638">
        <f t="shared" ca="1" si="93"/>
        <v>577</v>
      </c>
      <c r="C2638" t="s">
        <v>40</v>
      </c>
    </row>
    <row r="2639" spans="1:3" x14ac:dyDescent="0.25">
      <c r="A2639" s="71">
        <f t="shared" si="92"/>
        <v>123736</v>
      </c>
      <c r="B2639">
        <f t="shared" ca="1" si="93"/>
        <v>577</v>
      </c>
      <c r="C2639" t="s">
        <v>40</v>
      </c>
    </row>
    <row r="2640" spans="1:3" x14ac:dyDescent="0.25">
      <c r="A2640" s="71">
        <f t="shared" si="92"/>
        <v>123766</v>
      </c>
      <c r="B2640">
        <f t="shared" ca="1" si="93"/>
        <v>577</v>
      </c>
      <c r="C2640" t="s">
        <v>40</v>
      </c>
    </row>
    <row r="2641" spans="1:3" x14ac:dyDescent="0.25">
      <c r="A2641" s="71">
        <f t="shared" si="92"/>
        <v>123796</v>
      </c>
      <c r="B2641">
        <f t="shared" ca="1" si="93"/>
        <v>577</v>
      </c>
      <c r="C2641" t="s">
        <v>40</v>
      </c>
    </row>
    <row r="2642" spans="1:3" x14ac:dyDescent="0.25">
      <c r="A2642" s="71">
        <f t="shared" si="92"/>
        <v>123826</v>
      </c>
      <c r="B2642">
        <f t="shared" ca="1" si="93"/>
        <v>577</v>
      </c>
      <c r="C2642" t="s">
        <v>40</v>
      </c>
    </row>
    <row r="2643" spans="1:3" x14ac:dyDescent="0.25">
      <c r="A2643" s="71">
        <f t="shared" si="92"/>
        <v>123856</v>
      </c>
      <c r="B2643">
        <f t="shared" ca="1" si="93"/>
        <v>577</v>
      </c>
      <c r="C2643" t="s">
        <v>40</v>
      </c>
    </row>
    <row r="2644" spans="1:3" x14ac:dyDescent="0.25">
      <c r="A2644" s="71">
        <f t="shared" si="92"/>
        <v>123886</v>
      </c>
      <c r="B2644">
        <f t="shared" ca="1" si="93"/>
        <v>577</v>
      </c>
      <c r="C2644" t="s">
        <v>40</v>
      </c>
    </row>
    <row r="2645" spans="1:3" x14ac:dyDescent="0.25">
      <c r="A2645" s="71">
        <f t="shared" si="92"/>
        <v>123916</v>
      </c>
      <c r="B2645">
        <f t="shared" ca="1" si="93"/>
        <v>577</v>
      </c>
      <c r="C2645" t="s">
        <v>40</v>
      </c>
    </row>
    <row r="2646" spans="1:3" x14ac:dyDescent="0.25">
      <c r="A2646" s="71">
        <f t="shared" si="92"/>
        <v>123946</v>
      </c>
      <c r="B2646">
        <f t="shared" ca="1" si="93"/>
        <v>577</v>
      </c>
      <c r="C2646" t="s">
        <v>40</v>
      </c>
    </row>
    <row r="2647" spans="1:3" x14ac:dyDescent="0.25">
      <c r="A2647" s="71">
        <f t="shared" si="92"/>
        <v>123976</v>
      </c>
      <c r="B2647">
        <f t="shared" ca="1" si="93"/>
        <v>577</v>
      </c>
      <c r="C2647" t="s">
        <v>40</v>
      </c>
    </row>
    <row r="2648" spans="1:3" x14ac:dyDescent="0.25">
      <c r="A2648" s="71">
        <f t="shared" si="92"/>
        <v>124006</v>
      </c>
      <c r="B2648">
        <f t="shared" ca="1" si="93"/>
        <v>577</v>
      </c>
      <c r="C2648" t="s">
        <v>40</v>
      </c>
    </row>
    <row r="2649" spans="1:3" x14ac:dyDescent="0.25">
      <c r="A2649" s="71">
        <f t="shared" si="92"/>
        <v>124036</v>
      </c>
      <c r="B2649">
        <f t="shared" ca="1" si="93"/>
        <v>577</v>
      </c>
      <c r="C2649" t="s">
        <v>40</v>
      </c>
    </row>
    <row r="2650" spans="1:3" x14ac:dyDescent="0.25">
      <c r="A2650" s="71">
        <f t="shared" si="92"/>
        <v>124066</v>
      </c>
      <c r="B2650">
        <f t="shared" ca="1" si="93"/>
        <v>577</v>
      </c>
      <c r="C2650" t="s">
        <v>40</v>
      </c>
    </row>
    <row r="2651" spans="1:3" x14ac:dyDescent="0.25">
      <c r="A2651" s="71">
        <f t="shared" si="92"/>
        <v>124096</v>
      </c>
      <c r="B2651">
        <f t="shared" ca="1" si="93"/>
        <v>577</v>
      </c>
      <c r="C2651" t="s">
        <v>40</v>
      </c>
    </row>
    <row r="2652" spans="1:3" x14ac:dyDescent="0.25">
      <c r="A2652" s="71">
        <f t="shared" si="92"/>
        <v>124126</v>
      </c>
      <c r="B2652">
        <f t="shared" ca="1" si="93"/>
        <v>577</v>
      </c>
      <c r="C2652" t="s">
        <v>40</v>
      </c>
    </row>
    <row r="2653" spans="1:3" x14ac:dyDescent="0.25">
      <c r="A2653" s="71">
        <f t="shared" si="92"/>
        <v>124156</v>
      </c>
      <c r="B2653">
        <f t="shared" ca="1" si="93"/>
        <v>577</v>
      </c>
      <c r="C2653" t="s">
        <v>40</v>
      </c>
    </row>
    <row r="2654" spans="1:3" x14ac:dyDescent="0.25">
      <c r="A2654" s="71">
        <f t="shared" si="92"/>
        <v>124186</v>
      </c>
      <c r="B2654">
        <f t="shared" ca="1" si="93"/>
        <v>577</v>
      </c>
      <c r="C2654" t="s">
        <v>40</v>
      </c>
    </row>
    <row r="2655" spans="1:3" x14ac:dyDescent="0.25">
      <c r="A2655" s="71">
        <f t="shared" si="92"/>
        <v>124216</v>
      </c>
      <c r="B2655">
        <f t="shared" ca="1" si="93"/>
        <v>577</v>
      </c>
      <c r="C2655" t="s">
        <v>40</v>
      </c>
    </row>
    <row r="2656" spans="1:3" x14ac:dyDescent="0.25">
      <c r="A2656" s="71">
        <f t="shared" si="92"/>
        <v>124246</v>
      </c>
      <c r="B2656">
        <f t="shared" ca="1" si="93"/>
        <v>577</v>
      </c>
      <c r="C2656" t="s">
        <v>40</v>
      </c>
    </row>
    <row r="2657" spans="1:3" x14ac:dyDescent="0.25">
      <c r="A2657" s="71">
        <f t="shared" si="92"/>
        <v>124276</v>
      </c>
      <c r="B2657">
        <f t="shared" ca="1" si="93"/>
        <v>577</v>
      </c>
      <c r="C2657" t="s">
        <v>40</v>
      </c>
    </row>
    <row r="2658" spans="1:3" x14ac:dyDescent="0.25">
      <c r="A2658" s="71">
        <f t="shared" si="92"/>
        <v>124306</v>
      </c>
      <c r="B2658">
        <f t="shared" ca="1" si="93"/>
        <v>577</v>
      </c>
      <c r="C2658" t="s">
        <v>40</v>
      </c>
    </row>
    <row r="2659" spans="1:3" x14ac:dyDescent="0.25">
      <c r="A2659" s="71">
        <f t="shared" si="92"/>
        <v>124336</v>
      </c>
      <c r="B2659">
        <f t="shared" ca="1" si="93"/>
        <v>577</v>
      </c>
      <c r="C2659" t="s">
        <v>40</v>
      </c>
    </row>
    <row r="2660" spans="1:3" x14ac:dyDescent="0.25">
      <c r="A2660" s="71">
        <f t="shared" si="92"/>
        <v>124366</v>
      </c>
      <c r="B2660">
        <f t="shared" ca="1" si="93"/>
        <v>577</v>
      </c>
      <c r="C2660" t="s">
        <v>40</v>
      </c>
    </row>
    <row r="2661" spans="1:3" x14ac:dyDescent="0.25">
      <c r="A2661" s="71">
        <f t="shared" si="92"/>
        <v>124396</v>
      </c>
      <c r="B2661">
        <f t="shared" ca="1" si="93"/>
        <v>577</v>
      </c>
      <c r="C2661" t="s">
        <v>40</v>
      </c>
    </row>
    <row r="2662" spans="1:3" x14ac:dyDescent="0.25">
      <c r="A2662" s="71">
        <f t="shared" si="92"/>
        <v>124426</v>
      </c>
      <c r="B2662">
        <f t="shared" ca="1" si="93"/>
        <v>577</v>
      </c>
      <c r="C2662" t="s">
        <v>40</v>
      </c>
    </row>
    <row r="2663" spans="1:3" x14ac:dyDescent="0.25">
      <c r="A2663" s="71">
        <f t="shared" si="92"/>
        <v>124456</v>
      </c>
      <c r="B2663">
        <f t="shared" ca="1" si="93"/>
        <v>577</v>
      </c>
      <c r="C2663" t="s">
        <v>40</v>
      </c>
    </row>
    <row r="2664" spans="1:3" x14ac:dyDescent="0.25">
      <c r="A2664" s="71">
        <f t="shared" si="92"/>
        <v>124486</v>
      </c>
      <c r="B2664">
        <f t="shared" ca="1" si="93"/>
        <v>577</v>
      </c>
      <c r="C2664" t="s">
        <v>40</v>
      </c>
    </row>
    <row r="2665" spans="1:3" x14ac:dyDescent="0.25">
      <c r="A2665" s="71">
        <f t="shared" si="92"/>
        <v>124516</v>
      </c>
      <c r="B2665">
        <f t="shared" ca="1" si="93"/>
        <v>577</v>
      </c>
      <c r="C2665" t="s">
        <v>40</v>
      </c>
    </row>
    <row r="2666" spans="1:3" x14ac:dyDescent="0.25">
      <c r="A2666" s="71">
        <f t="shared" si="92"/>
        <v>124546</v>
      </c>
      <c r="B2666">
        <f t="shared" ca="1" si="93"/>
        <v>577</v>
      </c>
      <c r="C2666" t="s">
        <v>40</v>
      </c>
    </row>
    <row r="2667" spans="1:3" x14ac:dyDescent="0.25">
      <c r="A2667" s="71">
        <f t="shared" si="92"/>
        <v>124576</v>
      </c>
      <c r="B2667">
        <f t="shared" ca="1" si="93"/>
        <v>577</v>
      </c>
      <c r="C2667" t="s">
        <v>40</v>
      </c>
    </row>
    <row r="2668" spans="1:3" x14ac:dyDescent="0.25">
      <c r="A2668" s="71">
        <f t="shared" si="92"/>
        <v>124606</v>
      </c>
      <c r="B2668">
        <f t="shared" ca="1" si="93"/>
        <v>577</v>
      </c>
      <c r="C2668" t="s">
        <v>40</v>
      </c>
    </row>
    <row r="2669" spans="1:3" x14ac:dyDescent="0.25">
      <c r="A2669" s="71">
        <f t="shared" si="92"/>
        <v>124636</v>
      </c>
      <c r="B2669">
        <f t="shared" ca="1" si="93"/>
        <v>577</v>
      </c>
      <c r="C2669" t="s">
        <v>40</v>
      </c>
    </row>
    <row r="2670" spans="1:3" x14ac:dyDescent="0.25">
      <c r="A2670" s="71">
        <f t="shared" si="92"/>
        <v>124666</v>
      </c>
      <c r="B2670">
        <f t="shared" ca="1" si="93"/>
        <v>577</v>
      </c>
      <c r="C2670" t="s">
        <v>40</v>
      </c>
    </row>
    <row r="2671" spans="1:3" x14ac:dyDescent="0.25">
      <c r="A2671" s="71">
        <f t="shared" si="92"/>
        <v>124696</v>
      </c>
      <c r="B2671">
        <f t="shared" ca="1" si="93"/>
        <v>577</v>
      </c>
      <c r="C2671" t="s">
        <v>40</v>
      </c>
    </row>
    <row r="2672" spans="1:3" x14ac:dyDescent="0.25">
      <c r="A2672" s="71">
        <f t="shared" si="92"/>
        <v>124726</v>
      </c>
      <c r="B2672">
        <f t="shared" ca="1" si="93"/>
        <v>577</v>
      </c>
      <c r="C2672" t="s">
        <v>40</v>
      </c>
    </row>
    <row r="2673" spans="1:3" x14ac:dyDescent="0.25">
      <c r="A2673" s="71">
        <f t="shared" si="92"/>
        <v>124756</v>
      </c>
      <c r="B2673">
        <f t="shared" ca="1" si="93"/>
        <v>577</v>
      </c>
      <c r="C2673" t="s">
        <v>40</v>
      </c>
    </row>
    <row r="2674" spans="1:3" x14ac:dyDescent="0.25">
      <c r="A2674" s="71">
        <f t="shared" si="92"/>
        <v>124786</v>
      </c>
      <c r="B2674">
        <f t="shared" ca="1" si="93"/>
        <v>577</v>
      </c>
      <c r="C2674" t="s">
        <v>40</v>
      </c>
    </row>
    <row r="2675" spans="1:3" x14ac:dyDescent="0.25">
      <c r="A2675" s="71">
        <f t="shared" si="92"/>
        <v>124816</v>
      </c>
      <c r="B2675">
        <f t="shared" ca="1" si="93"/>
        <v>577</v>
      </c>
      <c r="C2675" t="s">
        <v>40</v>
      </c>
    </row>
    <row r="2676" spans="1:3" x14ac:dyDescent="0.25">
      <c r="A2676" s="71">
        <f t="shared" si="92"/>
        <v>124846</v>
      </c>
      <c r="B2676">
        <f t="shared" ca="1" si="93"/>
        <v>577</v>
      </c>
      <c r="C2676" t="s">
        <v>40</v>
      </c>
    </row>
    <row r="2677" spans="1:3" x14ac:dyDescent="0.25">
      <c r="A2677" s="71">
        <f t="shared" si="92"/>
        <v>124876</v>
      </c>
      <c r="B2677">
        <f t="shared" ca="1" si="93"/>
        <v>577</v>
      </c>
      <c r="C2677" t="s">
        <v>40</v>
      </c>
    </row>
    <row r="2678" spans="1:3" x14ac:dyDescent="0.25">
      <c r="A2678" s="71">
        <f t="shared" si="92"/>
        <v>124906</v>
      </c>
      <c r="B2678">
        <f t="shared" ca="1" si="93"/>
        <v>577</v>
      </c>
      <c r="C2678" t="s">
        <v>40</v>
      </c>
    </row>
    <row r="2679" spans="1:3" x14ac:dyDescent="0.25">
      <c r="A2679" s="71">
        <f t="shared" si="92"/>
        <v>124936</v>
      </c>
      <c r="B2679">
        <f t="shared" ca="1" si="93"/>
        <v>577</v>
      </c>
      <c r="C2679" t="s">
        <v>40</v>
      </c>
    </row>
    <row r="2680" spans="1:3" x14ac:dyDescent="0.25">
      <c r="A2680" s="71">
        <f t="shared" si="92"/>
        <v>124966</v>
      </c>
      <c r="B2680">
        <f t="shared" ca="1" si="93"/>
        <v>577</v>
      </c>
      <c r="C2680" t="s">
        <v>40</v>
      </c>
    </row>
    <row r="2681" spans="1:3" x14ac:dyDescent="0.25">
      <c r="A2681" s="71">
        <f t="shared" si="92"/>
        <v>124996</v>
      </c>
      <c r="B2681">
        <f t="shared" ca="1" si="93"/>
        <v>577</v>
      </c>
      <c r="C2681" t="s">
        <v>40</v>
      </c>
    </row>
    <row r="2682" spans="1:3" x14ac:dyDescent="0.25">
      <c r="A2682" s="71">
        <f t="shared" si="92"/>
        <v>125026</v>
      </c>
      <c r="B2682">
        <f t="shared" ca="1" si="93"/>
        <v>577</v>
      </c>
      <c r="C2682" t="s">
        <v>40</v>
      </c>
    </row>
    <row r="2683" spans="1:3" x14ac:dyDescent="0.25">
      <c r="A2683" s="71">
        <f t="shared" si="92"/>
        <v>125056</v>
      </c>
      <c r="B2683">
        <f t="shared" ca="1" si="93"/>
        <v>577</v>
      </c>
      <c r="C2683" t="s">
        <v>40</v>
      </c>
    </row>
    <row r="2684" spans="1:3" x14ac:dyDescent="0.25">
      <c r="A2684" s="71">
        <f t="shared" si="92"/>
        <v>125086</v>
      </c>
      <c r="B2684">
        <f t="shared" ca="1" si="93"/>
        <v>577</v>
      </c>
      <c r="C2684" t="s">
        <v>40</v>
      </c>
    </row>
    <row r="2685" spans="1:3" x14ac:dyDescent="0.25">
      <c r="A2685" s="71">
        <f t="shared" si="92"/>
        <v>125116</v>
      </c>
      <c r="B2685">
        <f t="shared" ca="1" si="93"/>
        <v>577</v>
      </c>
      <c r="C2685" t="s">
        <v>40</v>
      </c>
    </row>
    <row r="2686" spans="1:3" x14ac:dyDescent="0.25">
      <c r="A2686" s="71">
        <f t="shared" si="92"/>
        <v>125146</v>
      </c>
      <c r="B2686">
        <f t="shared" ca="1" si="93"/>
        <v>577</v>
      </c>
      <c r="C2686" t="s">
        <v>40</v>
      </c>
    </row>
    <row r="2687" spans="1:3" x14ac:dyDescent="0.25">
      <c r="A2687" s="71">
        <f t="shared" si="92"/>
        <v>125176</v>
      </c>
      <c r="B2687">
        <f t="shared" ca="1" si="93"/>
        <v>577</v>
      </c>
      <c r="C2687" t="s">
        <v>40</v>
      </c>
    </row>
    <row r="2688" spans="1:3" x14ac:dyDescent="0.25">
      <c r="A2688" s="71">
        <f t="shared" si="92"/>
        <v>125206</v>
      </c>
      <c r="B2688">
        <f t="shared" ca="1" si="93"/>
        <v>577</v>
      </c>
      <c r="C2688" t="s">
        <v>40</v>
      </c>
    </row>
    <row r="2689" spans="1:3" x14ac:dyDescent="0.25">
      <c r="A2689" s="71">
        <f t="shared" si="92"/>
        <v>125236</v>
      </c>
      <c r="B2689">
        <f t="shared" ca="1" si="93"/>
        <v>577</v>
      </c>
      <c r="C2689" t="s">
        <v>40</v>
      </c>
    </row>
    <row r="2690" spans="1:3" x14ac:dyDescent="0.25">
      <c r="A2690" s="71">
        <f t="shared" si="92"/>
        <v>125266</v>
      </c>
      <c r="B2690">
        <f t="shared" ca="1" si="93"/>
        <v>577</v>
      </c>
      <c r="C2690" t="s">
        <v>40</v>
      </c>
    </row>
    <row r="2691" spans="1:3" x14ac:dyDescent="0.25">
      <c r="A2691" s="71">
        <f t="shared" si="92"/>
        <v>125296</v>
      </c>
      <c r="B2691">
        <f t="shared" ca="1" si="93"/>
        <v>577</v>
      </c>
      <c r="C2691" t="s">
        <v>40</v>
      </c>
    </row>
    <row r="2692" spans="1:3" x14ac:dyDescent="0.25">
      <c r="A2692" s="71">
        <f t="shared" si="92"/>
        <v>125326</v>
      </c>
      <c r="B2692">
        <f t="shared" ca="1" si="93"/>
        <v>577</v>
      </c>
      <c r="C2692" t="s">
        <v>40</v>
      </c>
    </row>
    <row r="2693" spans="1:3" x14ac:dyDescent="0.25">
      <c r="A2693" s="71">
        <f t="shared" si="92"/>
        <v>125356</v>
      </c>
      <c r="B2693">
        <f t="shared" ca="1" si="93"/>
        <v>577</v>
      </c>
      <c r="C2693" t="s">
        <v>40</v>
      </c>
    </row>
    <row r="2694" spans="1:3" x14ac:dyDescent="0.25">
      <c r="A2694" s="71">
        <f t="shared" si="92"/>
        <v>125386</v>
      </c>
      <c r="B2694">
        <f t="shared" ca="1" si="93"/>
        <v>577</v>
      </c>
      <c r="C2694" t="s">
        <v>40</v>
      </c>
    </row>
    <row r="2695" spans="1:3" x14ac:dyDescent="0.25">
      <c r="A2695" s="71">
        <f t="shared" si="92"/>
        <v>125416</v>
      </c>
      <c r="B2695">
        <f t="shared" ca="1" si="93"/>
        <v>577</v>
      </c>
      <c r="C2695" t="s">
        <v>40</v>
      </c>
    </row>
    <row r="2696" spans="1:3" x14ac:dyDescent="0.25">
      <c r="A2696" s="71">
        <f t="shared" si="92"/>
        <v>125446</v>
      </c>
      <c r="B2696">
        <f t="shared" ca="1" si="93"/>
        <v>577</v>
      </c>
      <c r="C2696" t="s">
        <v>40</v>
      </c>
    </row>
    <row r="2697" spans="1:3" x14ac:dyDescent="0.25">
      <c r="A2697" s="71">
        <f t="shared" si="92"/>
        <v>125476</v>
      </c>
      <c r="B2697">
        <f t="shared" ca="1" si="93"/>
        <v>577</v>
      </c>
      <c r="C2697" t="s">
        <v>40</v>
      </c>
    </row>
    <row r="2698" spans="1:3" x14ac:dyDescent="0.25">
      <c r="A2698" s="71">
        <f t="shared" si="92"/>
        <v>125506</v>
      </c>
      <c r="B2698">
        <f t="shared" ca="1" si="93"/>
        <v>577</v>
      </c>
      <c r="C2698" t="s">
        <v>40</v>
      </c>
    </row>
    <row r="2699" spans="1:3" x14ac:dyDescent="0.25">
      <c r="A2699" s="71">
        <f t="shared" si="92"/>
        <v>125536</v>
      </c>
      <c r="B2699">
        <f t="shared" ca="1" si="93"/>
        <v>577</v>
      </c>
      <c r="C2699" t="s">
        <v>40</v>
      </c>
    </row>
    <row r="2700" spans="1:3" x14ac:dyDescent="0.25">
      <c r="A2700" s="71">
        <f t="shared" ref="A2700:A2763" si="94">A2699+30</f>
        <v>125566</v>
      </c>
      <c r="B2700">
        <f t="shared" ref="B2700:B2763" ca="1" si="95">B2699</f>
        <v>577</v>
      </c>
      <c r="C2700" t="s">
        <v>40</v>
      </c>
    </row>
    <row r="2701" spans="1:3" x14ac:dyDescent="0.25">
      <c r="A2701" s="71">
        <f t="shared" si="94"/>
        <v>125596</v>
      </c>
      <c r="B2701">
        <f t="shared" ca="1" si="95"/>
        <v>577</v>
      </c>
      <c r="C2701" t="s">
        <v>40</v>
      </c>
    </row>
    <row r="2702" spans="1:3" x14ac:dyDescent="0.25">
      <c r="A2702" s="71">
        <f t="shared" si="94"/>
        <v>125626</v>
      </c>
      <c r="B2702">
        <f t="shared" ca="1" si="95"/>
        <v>577</v>
      </c>
      <c r="C2702" t="s">
        <v>40</v>
      </c>
    </row>
    <row r="2703" spans="1:3" x14ac:dyDescent="0.25">
      <c r="A2703" s="71">
        <f t="shared" si="94"/>
        <v>125656</v>
      </c>
      <c r="B2703">
        <f t="shared" ca="1" si="95"/>
        <v>577</v>
      </c>
      <c r="C2703" t="s">
        <v>40</v>
      </c>
    </row>
    <row r="2704" spans="1:3" x14ac:dyDescent="0.25">
      <c r="A2704" s="71">
        <f t="shared" si="94"/>
        <v>125686</v>
      </c>
      <c r="B2704">
        <f t="shared" ca="1" si="95"/>
        <v>577</v>
      </c>
      <c r="C2704" t="s">
        <v>40</v>
      </c>
    </row>
    <row r="2705" spans="1:3" x14ac:dyDescent="0.25">
      <c r="A2705" s="71">
        <f t="shared" si="94"/>
        <v>125716</v>
      </c>
      <c r="B2705">
        <f t="shared" ca="1" si="95"/>
        <v>577</v>
      </c>
      <c r="C2705" t="s">
        <v>40</v>
      </c>
    </row>
    <row r="2706" spans="1:3" x14ac:dyDescent="0.25">
      <c r="A2706" s="71">
        <f t="shared" si="94"/>
        <v>125746</v>
      </c>
      <c r="B2706">
        <f t="shared" ca="1" si="95"/>
        <v>577</v>
      </c>
      <c r="C2706" t="s">
        <v>40</v>
      </c>
    </row>
    <row r="2707" spans="1:3" x14ac:dyDescent="0.25">
      <c r="A2707" s="71">
        <f t="shared" si="94"/>
        <v>125776</v>
      </c>
      <c r="B2707">
        <f t="shared" ca="1" si="95"/>
        <v>577</v>
      </c>
      <c r="C2707" t="s">
        <v>40</v>
      </c>
    </row>
    <row r="2708" spans="1:3" x14ac:dyDescent="0.25">
      <c r="A2708" s="71">
        <f t="shared" si="94"/>
        <v>125806</v>
      </c>
      <c r="B2708">
        <f t="shared" ca="1" si="95"/>
        <v>577</v>
      </c>
      <c r="C2708" t="s">
        <v>40</v>
      </c>
    </row>
    <row r="2709" spans="1:3" x14ac:dyDescent="0.25">
      <c r="A2709" s="71">
        <f t="shared" si="94"/>
        <v>125836</v>
      </c>
      <c r="B2709">
        <f t="shared" ca="1" si="95"/>
        <v>577</v>
      </c>
      <c r="C2709" t="s">
        <v>40</v>
      </c>
    </row>
    <row r="2710" spans="1:3" x14ac:dyDescent="0.25">
      <c r="A2710" s="71">
        <f t="shared" si="94"/>
        <v>125866</v>
      </c>
      <c r="B2710">
        <f t="shared" ca="1" si="95"/>
        <v>577</v>
      </c>
      <c r="C2710" t="s">
        <v>40</v>
      </c>
    </row>
    <row r="2711" spans="1:3" x14ac:dyDescent="0.25">
      <c r="A2711" s="71">
        <f t="shared" si="94"/>
        <v>125896</v>
      </c>
      <c r="B2711">
        <f t="shared" ca="1" si="95"/>
        <v>577</v>
      </c>
      <c r="C2711" t="s">
        <v>40</v>
      </c>
    </row>
    <row r="2712" spans="1:3" x14ac:dyDescent="0.25">
      <c r="A2712" s="71">
        <f t="shared" si="94"/>
        <v>125926</v>
      </c>
      <c r="B2712">
        <f t="shared" ca="1" si="95"/>
        <v>577</v>
      </c>
      <c r="C2712" t="s">
        <v>40</v>
      </c>
    </row>
    <row r="2713" spans="1:3" x14ac:dyDescent="0.25">
      <c r="A2713" s="71">
        <f t="shared" si="94"/>
        <v>125956</v>
      </c>
      <c r="B2713">
        <f t="shared" ca="1" si="95"/>
        <v>577</v>
      </c>
      <c r="C2713" t="s">
        <v>40</v>
      </c>
    </row>
    <row r="2714" spans="1:3" x14ac:dyDescent="0.25">
      <c r="A2714" s="71">
        <f t="shared" si="94"/>
        <v>125986</v>
      </c>
      <c r="B2714">
        <f t="shared" ca="1" si="95"/>
        <v>577</v>
      </c>
      <c r="C2714" t="s">
        <v>40</v>
      </c>
    </row>
    <row r="2715" spans="1:3" x14ac:dyDescent="0.25">
      <c r="A2715" s="71">
        <f t="shared" si="94"/>
        <v>126016</v>
      </c>
      <c r="B2715">
        <f t="shared" ca="1" si="95"/>
        <v>577</v>
      </c>
      <c r="C2715" t="s">
        <v>40</v>
      </c>
    </row>
    <row r="2716" spans="1:3" x14ac:dyDescent="0.25">
      <c r="A2716" s="71">
        <f t="shared" si="94"/>
        <v>126046</v>
      </c>
      <c r="B2716">
        <f t="shared" ca="1" si="95"/>
        <v>577</v>
      </c>
      <c r="C2716" t="s">
        <v>40</v>
      </c>
    </row>
    <row r="2717" spans="1:3" x14ac:dyDescent="0.25">
      <c r="A2717" s="71">
        <f t="shared" si="94"/>
        <v>126076</v>
      </c>
      <c r="B2717">
        <f t="shared" ca="1" si="95"/>
        <v>577</v>
      </c>
      <c r="C2717" t="s">
        <v>40</v>
      </c>
    </row>
    <row r="2718" spans="1:3" x14ac:dyDescent="0.25">
      <c r="A2718" s="71">
        <f t="shared" si="94"/>
        <v>126106</v>
      </c>
      <c r="B2718">
        <f t="shared" ca="1" si="95"/>
        <v>577</v>
      </c>
      <c r="C2718" t="s">
        <v>40</v>
      </c>
    </row>
    <row r="2719" spans="1:3" x14ac:dyDescent="0.25">
      <c r="A2719" s="71">
        <f t="shared" si="94"/>
        <v>126136</v>
      </c>
      <c r="B2719">
        <f t="shared" ca="1" si="95"/>
        <v>577</v>
      </c>
      <c r="C2719" t="s">
        <v>40</v>
      </c>
    </row>
    <row r="2720" spans="1:3" x14ac:dyDescent="0.25">
      <c r="A2720" s="71">
        <f t="shared" si="94"/>
        <v>126166</v>
      </c>
      <c r="B2720">
        <f t="shared" ca="1" si="95"/>
        <v>577</v>
      </c>
      <c r="C2720" t="s">
        <v>40</v>
      </c>
    </row>
    <row r="2721" spans="1:3" x14ac:dyDescent="0.25">
      <c r="A2721" s="71">
        <f t="shared" si="94"/>
        <v>126196</v>
      </c>
      <c r="B2721">
        <f t="shared" ca="1" si="95"/>
        <v>577</v>
      </c>
      <c r="C2721" t="s">
        <v>40</v>
      </c>
    </row>
    <row r="2722" spans="1:3" x14ac:dyDescent="0.25">
      <c r="A2722" s="71">
        <f t="shared" si="94"/>
        <v>126226</v>
      </c>
      <c r="B2722">
        <f t="shared" ca="1" si="95"/>
        <v>577</v>
      </c>
      <c r="C2722" t="s">
        <v>40</v>
      </c>
    </row>
    <row r="2723" spans="1:3" x14ac:dyDescent="0.25">
      <c r="A2723" s="71">
        <f t="shared" si="94"/>
        <v>126256</v>
      </c>
      <c r="B2723">
        <f t="shared" ca="1" si="95"/>
        <v>577</v>
      </c>
      <c r="C2723" t="s">
        <v>40</v>
      </c>
    </row>
    <row r="2724" spans="1:3" x14ac:dyDescent="0.25">
      <c r="A2724" s="71">
        <f t="shared" si="94"/>
        <v>126286</v>
      </c>
      <c r="B2724">
        <f t="shared" ca="1" si="95"/>
        <v>577</v>
      </c>
      <c r="C2724" t="s">
        <v>40</v>
      </c>
    </row>
    <row r="2725" spans="1:3" x14ac:dyDescent="0.25">
      <c r="A2725" s="71">
        <f t="shared" si="94"/>
        <v>126316</v>
      </c>
      <c r="B2725">
        <f t="shared" ca="1" si="95"/>
        <v>577</v>
      </c>
      <c r="C2725" t="s">
        <v>40</v>
      </c>
    </row>
    <row r="2726" spans="1:3" x14ac:dyDescent="0.25">
      <c r="A2726" s="71">
        <f t="shared" si="94"/>
        <v>126346</v>
      </c>
      <c r="B2726">
        <f t="shared" ca="1" si="95"/>
        <v>577</v>
      </c>
      <c r="C2726" t="s">
        <v>40</v>
      </c>
    </row>
    <row r="2727" spans="1:3" x14ac:dyDescent="0.25">
      <c r="A2727" s="71">
        <f t="shared" si="94"/>
        <v>126376</v>
      </c>
      <c r="B2727">
        <f t="shared" ca="1" si="95"/>
        <v>577</v>
      </c>
      <c r="C2727" t="s">
        <v>40</v>
      </c>
    </row>
    <row r="2728" spans="1:3" x14ac:dyDescent="0.25">
      <c r="A2728" s="71">
        <f t="shared" si="94"/>
        <v>126406</v>
      </c>
      <c r="B2728">
        <f t="shared" ca="1" si="95"/>
        <v>577</v>
      </c>
      <c r="C2728" t="s">
        <v>40</v>
      </c>
    </row>
    <row r="2729" spans="1:3" x14ac:dyDescent="0.25">
      <c r="A2729" s="71">
        <f t="shared" si="94"/>
        <v>126436</v>
      </c>
      <c r="B2729">
        <f t="shared" ca="1" si="95"/>
        <v>577</v>
      </c>
      <c r="C2729" t="s">
        <v>40</v>
      </c>
    </row>
    <row r="2730" spans="1:3" x14ac:dyDescent="0.25">
      <c r="A2730" s="71">
        <f t="shared" si="94"/>
        <v>126466</v>
      </c>
      <c r="B2730">
        <f t="shared" ca="1" si="95"/>
        <v>577</v>
      </c>
      <c r="C2730" t="s">
        <v>40</v>
      </c>
    </row>
    <row r="2731" spans="1:3" x14ac:dyDescent="0.25">
      <c r="A2731" s="71">
        <f t="shared" si="94"/>
        <v>126496</v>
      </c>
      <c r="B2731">
        <f t="shared" ca="1" si="95"/>
        <v>577</v>
      </c>
      <c r="C2731" t="s">
        <v>40</v>
      </c>
    </row>
    <row r="2732" spans="1:3" x14ac:dyDescent="0.25">
      <c r="A2732" s="71">
        <f t="shared" si="94"/>
        <v>126526</v>
      </c>
      <c r="B2732">
        <f t="shared" ca="1" si="95"/>
        <v>577</v>
      </c>
      <c r="C2732" t="s">
        <v>40</v>
      </c>
    </row>
    <row r="2733" spans="1:3" x14ac:dyDescent="0.25">
      <c r="A2733" s="71">
        <f t="shared" si="94"/>
        <v>126556</v>
      </c>
      <c r="B2733">
        <f t="shared" ca="1" si="95"/>
        <v>577</v>
      </c>
      <c r="C2733" t="s">
        <v>40</v>
      </c>
    </row>
    <row r="2734" spans="1:3" x14ac:dyDescent="0.25">
      <c r="A2734" s="71">
        <f t="shared" si="94"/>
        <v>126586</v>
      </c>
      <c r="B2734">
        <f t="shared" ca="1" si="95"/>
        <v>577</v>
      </c>
      <c r="C2734" t="s">
        <v>40</v>
      </c>
    </row>
    <row r="2735" spans="1:3" x14ac:dyDescent="0.25">
      <c r="A2735" s="71">
        <f t="shared" si="94"/>
        <v>126616</v>
      </c>
      <c r="B2735">
        <f t="shared" ca="1" si="95"/>
        <v>577</v>
      </c>
      <c r="C2735" t="s">
        <v>40</v>
      </c>
    </row>
    <row r="2736" spans="1:3" x14ac:dyDescent="0.25">
      <c r="A2736" s="71">
        <f t="shared" si="94"/>
        <v>126646</v>
      </c>
      <c r="B2736">
        <f t="shared" ca="1" si="95"/>
        <v>577</v>
      </c>
      <c r="C2736" t="s">
        <v>40</v>
      </c>
    </row>
    <row r="2737" spans="1:3" x14ac:dyDescent="0.25">
      <c r="A2737" s="71">
        <f t="shared" si="94"/>
        <v>126676</v>
      </c>
      <c r="B2737">
        <f t="shared" ca="1" si="95"/>
        <v>577</v>
      </c>
      <c r="C2737" t="s">
        <v>40</v>
      </c>
    </row>
    <row r="2738" spans="1:3" x14ac:dyDescent="0.25">
      <c r="A2738" s="71">
        <f t="shared" si="94"/>
        <v>126706</v>
      </c>
      <c r="B2738">
        <f t="shared" ca="1" si="95"/>
        <v>577</v>
      </c>
      <c r="C2738" t="s">
        <v>40</v>
      </c>
    </row>
    <row r="2739" spans="1:3" x14ac:dyDescent="0.25">
      <c r="A2739" s="71">
        <f t="shared" si="94"/>
        <v>126736</v>
      </c>
      <c r="B2739">
        <f t="shared" ca="1" si="95"/>
        <v>577</v>
      </c>
      <c r="C2739" t="s">
        <v>40</v>
      </c>
    </row>
    <row r="2740" spans="1:3" x14ac:dyDescent="0.25">
      <c r="A2740" s="71">
        <f t="shared" si="94"/>
        <v>126766</v>
      </c>
      <c r="B2740">
        <f t="shared" ca="1" si="95"/>
        <v>577</v>
      </c>
      <c r="C2740" t="s">
        <v>40</v>
      </c>
    </row>
    <row r="2741" spans="1:3" x14ac:dyDescent="0.25">
      <c r="A2741" s="71">
        <f t="shared" si="94"/>
        <v>126796</v>
      </c>
      <c r="B2741">
        <f t="shared" ca="1" si="95"/>
        <v>577</v>
      </c>
      <c r="C2741" t="s">
        <v>40</v>
      </c>
    </row>
    <row r="2742" spans="1:3" x14ac:dyDescent="0.25">
      <c r="A2742" s="71">
        <f t="shared" si="94"/>
        <v>126826</v>
      </c>
      <c r="B2742">
        <f t="shared" ca="1" si="95"/>
        <v>577</v>
      </c>
      <c r="C2742" t="s">
        <v>40</v>
      </c>
    </row>
    <row r="2743" spans="1:3" x14ac:dyDescent="0.25">
      <c r="A2743" s="71">
        <f t="shared" si="94"/>
        <v>126856</v>
      </c>
      <c r="B2743">
        <f t="shared" ca="1" si="95"/>
        <v>577</v>
      </c>
      <c r="C2743" t="s">
        <v>40</v>
      </c>
    </row>
    <row r="2744" spans="1:3" x14ac:dyDescent="0.25">
      <c r="A2744" s="71">
        <f t="shared" si="94"/>
        <v>126886</v>
      </c>
      <c r="B2744">
        <f t="shared" ca="1" si="95"/>
        <v>577</v>
      </c>
      <c r="C2744" t="s">
        <v>40</v>
      </c>
    </row>
    <row r="2745" spans="1:3" x14ac:dyDescent="0.25">
      <c r="A2745" s="71">
        <f t="shared" si="94"/>
        <v>126916</v>
      </c>
      <c r="B2745">
        <f t="shared" ca="1" si="95"/>
        <v>577</v>
      </c>
      <c r="C2745" t="s">
        <v>40</v>
      </c>
    </row>
    <row r="2746" spans="1:3" x14ac:dyDescent="0.25">
      <c r="A2746" s="71">
        <f t="shared" si="94"/>
        <v>126946</v>
      </c>
      <c r="B2746">
        <f t="shared" ca="1" si="95"/>
        <v>577</v>
      </c>
      <c r="C2746" t="s">
        <v>40</v>
      </c>
    </row>
    <row r="2747" spans="1:3" x14ac:dyDescent="0.25">
      <c r="A2747" s="71">
        <f t="shared" si="94"/>
        <v>126976</v>
      </c>
      <c r="B2747">
        <f t="shared" ca="1" si="95"/>
        <v>577</v>
      </c>
      <c r="C2747" t="s">
        <v>40</v>
      </c>
    </row>
    <row r="2748" spans="1:3" x14ac:dyDescent="0.25">
      <c r="A2748" s="71">
        <f t="shared" si="94"/>
        <v>127006</v>
      </c>
      <c r="B2748">
        <f t="shared" ca="1" si="95"/>
        <v>577</v>
      </c>
      <c r="C2748" t="s">
        <v>40</v>
      </c>
    </row>
    <row r="2749" spans="1:3" x14ac:dyDescent="0.25">
      <c r="A2749" s="71">
        <f t="shared" si="94"/>
        <v>127036</v>
      </c>
      <c r="B2749">
        <f t="shared" ca="1" si="95"/>
        <v>577</v>
      </c>
      <c r="C2749" t="s">
        <v>40</v>
      </c>
    </row>
    <row r="2750" spans="1:3" x14ac:dyDescent="0.25">
      <c r="A2750" s="71">
        <f t="shared" si="94"/>
        <v>127066</v>
      </c>
      <c r="B2750">
        <f t="shared" ca="1" si="95"/>
        <v>577</v>
      </c>
      <c r="C2750" t="s">
        <v>40</v>
      </c>
    </row>
    <row r="2751" spans="1:3" x14ac:dyDescent="0.25">
      <c r="A2751" s="71">
        <f t="shared" si="94"/>
        <v>127096</v>
      </c>
      <c r="B2751">
        <f t="shared" ca="1" si="95"/>
        <v>577</v>
      </c>
      <c r="C2751" t="s">
        <v>40</v>
      </c>
    </row>
    <row r="2752" spans="1:3" x14ac:dyDescent="0.25">
      <c r="A2752" s="71">
        <f t="shared" si="94"/>
        <v>127126</v>
      </c>
      <c r="B2752">
        <f t="shared" ca="1" si="95"/>
        <v>577</v>
      </c>
      <c r="C2752" t="s">
        <v>40</v>
      </c>
    </row>
    <row r="2753" spans="1:3" x14ac:dyDescent="0.25">
      <c r="A2753" s="71">
        <f t="shared" si="94"/>
        <v>127156</v>
      </c>
      <c r="B2753">
        <f t="shared" ca="1" si="95"/>
        <v>577</v>
      </c>
      <c r="C2753" t="s">
        <v>40</v>
      </c>
    </row>
    <row r="2754" spans="1:3" x14ac:dyDescent="0.25">
      <c r="A2754" s="71">
        <f t="shared" si="94"/>
        <v>127186</v>
      </c>
      <c r="B2754">
        <f t="shared" ca="1" si="95"/>
        <v>577</v>
      </c>
      <c r="C2754" t="s">
        <v>40</v>
      </c>
    </row>
    <row r="2755" spans="1:3" x14ac:dyDescent="0.25">
      <c r="A2755" s="71">
        <f t="shared" si="94"/>
        <v>127216</v>
      </c>
      <c r="B2755">
        <f t="shared" ca="1" si="95"/>
        <v>577</v>
      </c>
      <c r="C2755" t="s">
        <v>40</v>
      </c>
    </row>
    <row r="2756" spans="1:3" x14ac:dyDescent="0.25">
      <c r="A2756" s="71">
        <f t="shared" si="94"/>
        <v>127246</v>
      </c>
      <c r="B2756">
        <f t="shared" ca="1" si="95"/>
        <v>577</v>
      </c>
      <c r="C2756" t="s">
        <v>40</v>
      </c>
    </row>
    <row r="2757" spans="1:3" x14ac:dyDescent="0.25">
      <c r="A2757" s="71">
        <f t="shared" si="94"/>
        <v>127276</v>
      </c>
      <c r="B2757">
        <f t="shared" ca="1" si="95"/>
        <v>577</v>
      </c>
      <c r="C2757" t="s">
        <v>40</v>
      </c>
    </row>
    <row r="2758" spans="1:3" x14ac:dyDescent="0.25">
      <c r="A2758" s="71">
        <f t="shared" si="94"/>
        <v>127306</v>
      </c>
      <c r="B2758">
        <f t="shared" ca="1" si="95"/>
        <v>577</v>
      </c>
      <c r="C2758" t="s">
        <v>40</v>
      </c>
    </row>
    <row r="2759" spans="1:3" x14ac:dyDescent="0.25">
      <c r="A2759" s="71">
        <f t="shared" si="94"/>
        <v>127336</v>
      </c>
      <c r="B2759">
        <f t="shared" ca="1" si="95"/>
        <v>577</v>
      </c>
      <c r="C2759" t="s">
        <v>40</v>
      </c>
    </row>
    <row r="2760" spans="1:3" x14ac:dyDescent="0.25">
      <c r="A2760" s="71">
        <f t="shared" si="94"/>
        <v>127366</v>
      </c>
      <c r="B2760">
        <f t="shared" ca="1" si="95"/>
        <v>577</v>
      </c>
      <c r="C2760" t="s">
        <v>40</v>
      </c>
    </row>
    <row r="2761" spans="1:3" x14ac:dyDescent="0.25">
      <c r="A2761" s="71">
        <f t="shared" si="94"/>
        <v>127396</v>
      </c>
      <c r="B2761">
        <f t="shared" ca="1" si="95"/>
        <v>577</v>
      </c>
      <c r="C2761" t="s">
        <v>40</v>
      </c>
    </row>
    <row r="2762" spans="1:3" x14ac:dyDescent="0.25">
      <c r="A2762" s="71">
        <f t="shared" si="94"/>
        <v>127426</v>
      </c>
      <c r="B2762">
        <f t="shared" ca="1" si="95"/>
        <v>577</v>
      </c>
      <c r="C2762" t="s">
        <v>40</v>
      </c>
    </row>
    <row r="2763" spans="1:3" x14ac:dyDescent="0.25">
      <c r="A2763" s="71">
        <f t="shared" si="94"/>
        <v>127456</v>
      </c>
      <c r="B2763">
        <f t="shared" ca="1" si="95"/>
        <v>577</v>
      </c>
      <c r="C2763" t="s">
        <v>40</v>
      </c>
    </row>
    <row r="2764" spans="1:3" x14ac:dyDescent="0.25">
      <c r="A2764" s="71">
        <f t="shared" ref="A2764:A2827" si="96">A2763+30</f>
        <v>127486</v>
      </c>
      <c r="B2764">
        <f t="shared" ref="B2764:B2827" ca="1" si="97">B2763</f>
        <v>577</v>
      </c>
      <c r="C2764" t="s">
        <v>40</v>
      </c>
    </row>
    <row r="2765" spans="1:3" x14ac:dyDescent="0.25">
      <c r="A2765" s="71">
        <f t="shared" si="96"/>
        <v>127516</v>
      </c>
      <c r="B2765">
        <f t="shared" ca="1" si="97"/>
        <v>577</v>
      </c>
      <c r="C2765" t="s">
        <v>40</v>
      </c>
    </row>
    <row r="2766" spans="1:3" x14ac:dyDescent="0.25">
      <c r="A2766" s="71">
        <f t="shared" si="96"/>
        <v>127546</v>
      </c>
      <c r="B2766">
        <f t="shared" ca="1" si="97"/>
        <v>577</v>
      </c>
      <c r="C2766" t="s">
        <v>40</v>
      </c>
    </row>
    <row r="2767" spans="1:3" x14ac:dyDescent="0.25">
      <c r="A2767" s="71">
        <f t="shared" si="96"/>
        <v>127576</v>
      </c>
      <c r="B2767">
        <f t="shared" ca="1" si="97"/>
        <v>577</v>
      </c>
      <c r="C2767" t="s">
        <v>40</v>
      </c>
    </row>
    <row r="2768" spans="1:3" x14ac:dyDescent="0.25">
      <c r="A2768" s="71">
        <f t="shared" si="96"/>
        <v>127606</v>
      </c>
      <c r="B2768">
        <f t="shared" ca="1" si="97"/>
        <v>577</v>
      </c>
      <c r="C2768" t="s">
        <v>40</v>
      </c>
    </row>
    <row r="2769" spans="1:3" x14ac:dyDescent="0.25">
      <c r="A2769" s="71">
        <f t="shared" si="96"/>
        <v>127636</v>
      </c>
      <c r="B2769">
        <f t="shared" ca="1" si="97"/>
        <v>577</v>
      </c>
      <c r="C2769" t="s">
        <v>40</v>
      </c>
    </row>
    <row r="2770" spans="1:3" x14ac:dyDescent="0.25">
      <c r="A2770" s="71">
        <f t="shared" si="96"/>
        <v>127666</v>
      </c>
      <c r="B2770">
        <f t="shared" ca="1" si="97"/>
        <v>577</v>
      </c>
      <c r="C2770" t="s">
        <v>40</v>
      </c>
    </row>
    <row r="2771" spans="1:3" x14ac:dyDescent="0.25">
      <c r="A2771" s="71">
        <f t="shared" si="96"/>
        <v>127696</v>
      </c>
      <c r="B2771">
        <f t="shared" ca="1" si="97"/>
        <v>577</v>
      </c>
      <c r="C2771" t="s">
        <v>40</v>
      </c>
    </row>
    <row r="2772" spans="1:3" x14ac:dyDescent="0.25">
      <c r="A2772" s="71">
        <f t="shared" si="96"/>
        <v>127726</v>
      </c>
      <c r="B2772">
        <f t="shared" ca="1" si="97"/>
        <v>577</v>
      </c>
      <c r="C2772" t="s">
        <v>40</v>
      </c>
    </row>
    <row r="2773" spans="1:3" x14ac:dyDescent="0.25">
      <c r="A2773" s="71">
        <f t="shared" si="96"/>
        <v>127756</v>
      </c>
      <c r="B2773">
        <f t="shared" ca="1" si="97"/>
        <v>577</v>
      </c>
      <c r="C2773" t="s">
        <v>40</v>
      </c>
    </row>
    <row r="2774" spans="1:3" x14ac:dyDescent="0.25">
      <c r="A2774" s="71">
        <f t="shared" si="96"/>
        <v>127786</v>
      </c>
      <c r="B2774">
        <f t="shared" ca="1" si="97"/>
        <v>577</v>
      </c>
      <c r="C2774" t="s">
        <v>40</v>
      </c>
    </row>
    <row r="2775" spans="1:3" x14ac:dyDescent="0.25">
      <c r="A2775" s="71">
        <f t="shared" si="96"/>
        <v>127816</v>
      </c>
      <c r="B2775">
        <f t="shared" ca="1" si="97"/>
        <v>577</v>
      </c>
      <c r="C2775" t="s">
        <v>40</v>
      </c>
    </row>
    <row r="2776" spans="1:3" x14ac:dyDescent="0.25">
      <c r="A2776" s="71">
        <f t="shared" si="96"/>
        <v>127846</v>
      </c>
      <c r="B2776">
        <f t="shared" ca="1" si="97"/>
        <v>577</v>
      </c>
      <c r="C2776" t="s">
        <v>40</v>
      </c>
    </row>
    <row r="2777" spans="1:3" x14ac:dyDescent="0.25">
      <c r="A2777" s="71">
        <f t="shared" si="96"/>
        <v>127876</v>
      </c>
      <c r="B2777">
        <f t="shared" ca="1" si="97"/>
        <v>577</v>
      </c>
      <c r="C2777" t="s">
        <v>40</v>
      </c>
    </row>
    <row r="2778" spans="1:3" x14ac:dyDescent="0.25">
      <c r="A2778" s="71">
        <f t="shared" si="96"/>
        <v>127906</v>
      </c>
      <c r="B2778">
        <f t="shared" ca="1" si="97"/>
        <v>577</v>
      </c>
      <c r="C2778" t="s">
        <v>40</v>
      </c>
    </row>
    <row r="2779" spans="1:3" x14ac:dyDescent="0.25">
      <c r="A2779" s="71">
        <f t="shared" si="96"/>
        <v>127936</v>
      </c>
      <c r="B2779">
        <f t="shared" ca="1" si="97"/>
        <v>577</v>
      </c>
      <c r="C2779" t="s">
        <v>40</v>
      </c>
    </row>
    <row r="2780" spans="1:3" x14ac:dyDescent="0.25">
      <c r="A2780" s="71">
        <f t="shared" si="96"/>
        <v>127966</v>
      </c>
      <c r="B2780">
        <f t="shared" ca="1" si="97"/>
        <v>577</v>
      </c>
      <c r="C2780" t="s">
        <v>40</v>
      </c>
    </row>
    <row r="2781" spans="1:3" x14ac:dyDescent="0.25">
      <c r="A2781" s="71">
        <f t="shared" si="96"/>
        <v>127996</v>
      </c>
      <c r="B2781">
        <f t="shared" ca="1" si="97"/>
        <v>577</v>
      </c>
      <c r="C2781" t="s">
        <v>40</v>
      </c>
    </row>
    <row r="2782" spans="1:3" x14ac:dyDescent="0.25">
      <c r="A2782" s="71">
        <f t="shared" si="96"/>
        <v>128026</v>
      </c>
      <c r="B2782">
        <f t="shared" ca="1" si="97"/>
        <v>577</v>
      </c>
      <c r="C2782" t="s">
        <v>40</v>
      </c>
    </row>
    <row r="2783" spans="1:3" x14ac:dyDescent="0.25">
      <c r="A2783" s="71">
        <f t="shared" si="96"/>
        <v>128056</v>
      </c>
      <c r="B2783">
        <f t="shared" ca="1" si="97"/>
        <v>577</v>
      </c>
      <c r="C2783" t="s">
        <v>40</v>
      </c>
    </row>
    <row r="2784" spans="1:3" x14ac:dyDescent="0.25">
      <c r="A2784" s="71">
        <f t="shared" si="96"/>
        <v>128086</v>
      </c>
      <c r="B2784">
        <f t="shared" ca="1" si="97"/>
        <v>577</v>
      </c>
      <c r="C2784" t="s">
        <v>40</v>
      </c>
    </row>
    <row r="2785" spans="1:3" x14ac:dyDescent="0.25">
      <c r="A2785" s="71">
        <f t="shared" si="96"/>
        <v>128116</v>
      </c>
      <c r="B2785">
        <f t="shared" ca="1" si="97"/>
        <v>577</v>
      </c>
      <c r="C2785" t="s">
        <v>40</v>
      </c>
    </row>
    <row r="2786" spans="1:3" x14ac:dyDescent="0.25">
      <c r="A2786" s="71">
        <f t="shared" si="96"/>
        <v>128146</v>
      </c>
      <c r="B2786">
        <f t="shared" ca="1" si="97"/>
        <v>577</v>
      </c>
      <c r="C2786" t="s">
        <v>40</v>
      </c>
    </row>
    <row r="2787" spans="1:3" x14ac:dyDescent="0.25">
      <c r="A2787" s="71">
        <f t="shared" si="96"/>
        <v>128176</v>
      </c>
      <c r="B2787">
        <f t="shared" ca="1" si="97"/>
        <v>577</v>
      </c>
      <c r="C2787" t="s">
        <v>40</v>
      </c>
    </row>
    <row r="2788" spans="1:3" x14ac:dyDescent="0.25">
      <c r="A2788" s="71">
        <f t="shared" si="96"/>
        <v>128206</v>
      </c>
      <c r="B2788">
        <f t="shared" ca="1" si="97"/>
        <v>577</v>
      </c>
      <c r="C2788" t="s">
        <v>40</v>
      </c>
    </row>
    <row r="2789" spans="1:3" x14ac:dyDescent="0.25">
      <c r="A2789" s="71">
        <f t="shared" si="96"/>
        <v>128236</v>
      </c>
      <c r="B2789">
        <f t="shared" ca="1" si="97"/>
        <v>577</v>
      </c>
      <c r="C2789" t="s">
        <v>40</v>
      </c>
    </row>
    <row r="2790" spans="1:3" x14ac:dyDescent="0.25">
      <c r="A2790" s="71">
        <f t="shared" si="96"/>
        <v>128266</v>
      </c>
      <c r="B2790">
        <f t="shared" ca="1" si="97"/>
        <v>577</v>
      </c>
      <c r="C2790" t="s">
        <v>40</v>
      </c>
    </row>
    <row r="2791" spans="1:3" x14ac:dyDescent="0.25">
      <c r="A2791" s="71">
        <f t="shared" si="96"/>
        <v>128296</v>
      </c>
      <c r="B2791">
        <f t="shared" ca="1" si="97"/>
        <v>577</v>
      </c>
      <c r="C2791" t="s">
        <v>40</v>
      </c>
    </row>
    <row r="2792" spans="1:3" x14ac:dyDescent="0.25">
      <c r="A2792" s="71">
        <f t="shared" si="96"/>
        <v>128326</v>
      </c>
      <c r="B2792">
        <f t="shared" ca="1" si="97"/>
        <v>577</v>
      </c>
      <c r="C2792" t="s">
        <v>40</v>
      </c>
    </row>
    <row r="2793" spans="1:3" x14ac:dyDescent="0.25">
      <c r="A2793" s="71">
        <f t="shared" si="96"/>
        <v>128356</v>
      </c>
      <c r="B2793">
        <f t="shared" ca="1" si="97"/>
        <v>577</v>
      </c>
      <c r="C2793" t="s">
        <v>40</v>
      </c>
    </row>
    <row r="2794" spans="1:3" x14ac:dyDescent="0.25">
      <c r="A2794" s="71">
        <f t="shared" si="96"/>
        <v>128386</v>
      </c>
      <c r="B2794">
        <f t="shared" ca="1" si="97"/>
        <v>577</v>
      </c>
      <c r="C2794" t="s">
        <v>40</v>
      </c>
    </row>
    <row r="2795" spans="1:3" x14ac:dyDescent="0.25">
      <c r="A2795" s="71">
        <f t="shared" si="96"/>
        <v>128416</v>
      </c>
      <c r="B2795">
        <f t="shared" ca="1" si="97"/>
        <v>577</v>
      </c>
      <c r="C2795" t="s">
        <v>40</v>
      </c>
    </row>
    <row r="2796" spans="1:3" x14ac:dyDescent="0.25">
      <c r="A2796" s="71">
        <f t="shared" si="96"/>
        <v>128446</v>
      </c>
      <c r="B2796">
        <f t="shared" ca="1" si="97"/>
        <v>577</v>
      </c>
      <c r="C2796" t="s">
        <v>40</v>
      </c>
    </row>
    <row r="2797" spans="1:3" x14ac:dyDescent="0.25">
      <c r="A2797" s="71">
        <f t="shared" si="96"/>
        <v>128476</v>
      </c>
      <c r="B2797">
        <f t="shared" ca="1" si="97"/>
        <v>577</v>
      </c>
      <c r="C2797" t="s">
        <v>40</v>
      </c>
    </row>
    <row r="2798" spans="1:3" x14ac:dyDescent="0.25">
      <c r="A2798" s="71">
        <f t="shared" si="96"/>
        <v>128506</v>
      </c>
      <c r="B2798">
        <f t="shared" ca="1" si="97"/>
        <v>577</v>
      </c>
      <c r="C2798" t="s">
        <v>40</v>
      </c>
    </row>
    <row r="2799" spans="1:3" x14ac:dyDescent="0.25">
      <c r="A2799" s="71">
        <f t="shared" si="96"/>
        <v>128536</v>
      </c>
      <c r="B2799">
        <f t="shared" ca="1" si="97"/>
        <v>577</v>
      </c>
      <c r="C2799" t="s">
        <v>40</v>
      </c>
    </row>
    <row r="2800" spans="1:3" x14ac:dyDescent="0.25">
      <c r="A2800" s="71">
        <f t="shared" si="96"/>
        <v>128566</v>
      </c>
      <c r="B2800">
        <f t="shared" ca="1" si="97"/>
        <v>577</v>
      </c>
      <c r="C2800" t="s">
        <v>40</v>
      </c>
    </row>
    <row r="2801" spans="1:3" x14ac:dyDescent="0.25">
      <c r="A2801" s="71">
        <f t="shared" si="96"/>
        <v>128596</v>
      </c>
      <c r="B2801">
        <f t="shared" ca="1" si="97"/>
        <v>577</v>
      </c>
      <c r="C2801" t="s">
        <v>40</v>
      </c>
    </row>
    <row r="2802" spans="1:3" x14ac:dyDescent="0.25">
      <c r="A2802" s="71">
        <f t="shared" si="96"/>
        <v>128626</v>
      </c>
      <c r="B2802">
        <f t="shared" ca="1" si="97"/>
        <v>577</v>
      </c>
      <c r="C2802" t="s">
        <v>40</v>
      </c>
    </row>
    <row r="2803" spans="1:3" x14ac:dyDescent="0.25">
      <c r="A2803" s="71">
        <f t="shared" si="96"/>
        <v>128656</v>
      </c>
      <c r="B2803">
        <f t="shared" ca="1" si="97"/>
        <v>577</v>
      </c>
      <c r="C2803" t="s">
        <v>40</v>
      </c>
    </row>
    <row r="2804" spans="1:3" x14ac:dyDescent="0.25">
      <c r="A2804" s="71">
        <f t="shared" si="96"/>
        <v>128686</v>
      </c>
      <c r="B2804">
        <f t="shared" ca="1" si="97"/>
        <v>577</v>
      </c>
      <c r="C2804" t="s">
        <v>40</v>
      </c>
    </row>
    <row r="2805" spans="1:3" x14ac:dyDescent="0.25">
      <c r="A2805" s="71">
        <f t="shared" si="96"/>
        <v>128716</v>
      </c>
      <c r="B2805">
        <f t="shared" ca="1" si="97"/>
        <v>577</v>
      </c>
      <c r="C2805" t="s">
        <v>40</v>
      </c>
    </row>
    <row r="2806" spans="1:3" x14ac:dyDescent="0.25">
      <c r="A2806" s="71">
        <f t="shared" si="96"/>
        <v>128746</v>
      </c>
      <c r="B2806">
        <f t="shared" ca="1" si="97"/>
        <v>577</v>
      </c>
      <c r="C2806" t="s">
        <v>40</v>
      </c>
    </row>
    <row r="2807" spans="1:3" x14ac:dyDescent="0.25">
      <c r="A2807" s="71">
        <f t="shared" si="96"/>
        <v>128776</v>
      </c>
      <c r="B2807">
        <f t="shared" ca="1" si="97"/>
        <v>577</v>
      </c>
      <c r="C2807" t="s">
        <v>40</v>
      </c>
    </row>
    <row r="2808" spans="1:3" x14ac:dyDescent="0.25">
      <c r="A2808" s="71">
        <f t="shared" si="96"/>
        <v>128806</v>
      </c>
      <c r="B2808">
        <f t="shared" ca="1" si="97"/>
        <v>577</v>
      </c>
      <c r="C2808" t="s">
        <v>40</v>
      </c>
    </row>
    <row r="2809" spans="1:3" x14ac:dyDescent="0.25">
      <c r="A2809" s="71">
        <f t="shared" si="96"/>
        <v>128836</v>
      </c>
      <c r="B2809">
        <f t="shared" ca="1" si="97"/>
        <v>577</v>
      </c>
      <c r="C2809" t="s">
        <v>40</v>
      </c>
    </row>
    <row r="2810" spans="1:3" x14ac:dyDescent="0.25">
      <c r="A2810" s="71">
        <f t="shared" si="96"/>
        <v>128866</v>
      </c>
      <c r="B2810">
        <f t="shared" ca="1" si="97"/>
        <v>577</v>
      </c>
      <c r="C2810" t="s">
        <v>40</v>
      </c>
    </row>
    <row r="2811" spans="1:3" x14ac:dyDescent="0.25">
      <c r="A2811" s="71">
        <f t="shared" si="96"/>
        <v>128896</v>
      </c>
      <c r="B2811">
        <f t="shared" ca="1" si="97"/>
        <v>577</v>
      </c>
      <c r="C2811" t="s">
        <v>40</v>
      </c>
    </row>
    <row r="2812" spans="1:3" x14ac:dyDescent="0.25">
      <c r="A2812" s="71">
        <f t="shared" si="96"/>
        <v>128926</v>
      </c>
      <c r="B2812">
        <f t="shared" ca="1" si="97"/>
        <v>577</v>
      </c>
      <c r="C2812" t="s">
        <v>40</v>
      </c>
    </row>
    <row r="2813" spans="1:3" x14ac:dyDescent="0.25">
      <c r="A2813" s="71">
        <f t="shared" si="96"/>
        <v>128956</v>
      </c>
      <c r="B2813">
        <f t="shared" ca="1" si="97"/>
        <v>577</v>
      </c>
      <c r="C2813" t="s">
        <v>40</v>
      </c>
    </row>
    <row r="2814" spans="1:3" x14ac:dyDescent="0.25">
      <c r="A2814" s="71">
        <f t="shared" si="96"/>
        <v>128986</v>
      </c>
      <c r="B2814">
        <f t="shared" ca="1" si="97"/>
        <v>577</v>
      </c>
      <c r="C2814" t="s">
        <v>40</v>
      </c>
    </row>
    <row r="2815" spans="1:3" x14ac:dyDescent="0.25">
      <c r="A2815" s="71">
        <f t="shared" si="96"/>
        <v>129016</v>
      </c>
      <c r="B2815">
        <f t="shared" ca="1" si="97"/>
        <v>577</v>
      </c>
      <c r="C2815" t="s">
        <v>40</v>
      </c>
    </row>
    <row r="2816" spans="1:3" x14ac:dyDescent="0.25">
      <c r="A2816" s="71">
        <f t="shared" si="96"/>
        <v>129046</v>
      </c>
      <c r="B2816">
        <f t="shared" ca="1" si="97"/>
        <v>577</v>
      </c>
      <c r="C2816" t="s">
        <v>40</v>
      </c>
    </row>
    <row r="2817" spans="1:3" x14ac:dyDescent="0.25">
      <c r="A2817" s="71">
        <f t="shared" si="96"/>
        <v>129076</v>
      </c>
      <c r="B2817">
        <f t="shared" ca="1" si="97"/>
        <v>577</v>
      </c>
      <c r="C2817" t="s">
        <v>40</v>
      </c>
    </row>
    <row r="2818" spans="1:3" x14ac:dyDescent="0.25">
      <c r="A2818" s="71">
        <f t="shared" si="96"/>
        <v>129106</v>
      </c>
      <c r="B2818">
        <f t="shared" ca="1" si="97"/>
        <v>577</v>
      </c>
      <c r="C2818" t="s">
        <v>40</v>
      </c>
    </row>
    <row r="2819" spans="1:3" x14ac:dyDescent="0.25">
      <c r="A2819" s="71">
        <f t="shared" si="96"/>
        <v>129136</v>
      </c>
      <c r="B2819">
        <f t="shared" ca="1" si="97"/>
        <v>577</v>
      </c>
      <c r="C2819" t="s">
        <v>40</v>
      </c>
    </row>
    <row r="2820" spans="1:3" x14ac:dyDescent="0.25">
      <c r="A2820" s="71">
        <f t="shared" si="96"/>
        <v>129166</v>
      </c>
      <c r="B2820">
        <f t="shared" ca="1" si="97"/>
        <v>577</v>
      </c>
      <c r="C2820" t="s">
        <v>40</v>
      </c>
    </row>
    <row r="2821" spans="1:3" x14ac:dyDescent="0.25">
      <c r="A2821" s="71">
        <f t="shared" si="96"/>
        <v>129196</v>
      </c>
      <c r="B2821">
        <f t="shared" ca="1" si="97"/>
        <v>577</v>
      </c>
      <c r="C2821" t="s">
        <v>40</v>
      </c>
    </row>
    <row r="2822" spans="1:3" x14ac:dyDescent="0.25">
      <c r="A2822" s="71">
        <f t="shared" si="96"/>
        <v>129226</v>
      </c>
      <c r="B2822">
        <f t="shared" ca="1" si="97"/>
        <v>577</v>
      </c>
      <c r="C2822" t="s">
        <v>40</v>
      </c>
    </row>
    <row r="2823" spans="1:3" x14ac:dyDescent="0.25">
      <c r="A2823" s="71">
        <f t="shared" si="96"/>
        <v>129256</v>
      </c>
      <c r="B2823">
        <f t="shared" ca="1" si="97"/>
        <v>577</v>
      </c>
      <c r="C2823" t="s">
        <v>40</v>
      </c>
    </row>
    <row r="2824" spans="1:3" x14ac:dyDescent="0.25">
      <c r="A2824" s="71">
        <f t="shared" si="96"/>
        <v>129286</v>
      </c>
      <c r="B2824">
        <f t="shared" ca="1" si="97"/>
        <v>577</v>
      </c>
      <c r="C2824" t="s">
        <v>40</v>
      </c>
    </row>
    <row r="2825" spans="1:3" x14ac:dyDescent="0.25">
      <c r="A2825" s="71">
        <f t="shared" si="96"/>
        <v>129316</v>
      </c>
      <c r="B2825">
        <f t="shared" ca="1" si="97"/>
        <v>577</v>
      </c>
      <c r="C2825" t="s">
        <v>40</v>
      </c>
    </row>
    <row r="2826" spans="1:3" x14ac:dyDescent="0.25">
      <c r="A2826" s="71">
        <f t="shared" si="96"/>
        <v>129346</v>
      </c>
      <c r="B2826">
        <f t="shared" ca="1" si="97"/>
        <v>577</v>
      </c>
      <c r="C2826" t="s">
        <v>40</v>
      </c>
    </row>
    <row r="2827" spans="1:3" x14ac:dyDescent="0.25">
      <c r="A2827" s="71">
        <f t="shared" si="96"/>
        <v>129376</v>
      </c>
      <c r="B2827">
        <f t="shared" ca="1" si="97"/>
        <v>577</v>
      </c>
      <c r="C2827" t="s">
        <v>40</v>
      </c>
    </row>
    <row r="2828" spans="1:3" x14ac:dyDescent="0.25">
      <c r="A2828" s="71">
        <f t="shared" ref="A2828:A2891" si="98">A2827+30</f>
        <v>129406</v>
      </c>
      <c r="B2828">
        <f t="shared" ref="B2828:B2891" ca="1" si="99">B2827</f>
        <v>577</v>
      </c>
      <c r="C2828" t="s">
        <v>40</v>
      </c>
    </row>
    <row r="2829" spans="1:3" x14ac:dyDescent="0.25">
      <c r="A2829" s="71">
        <f t="shared" si="98"/>
        <v>129436</v>
      </c>
      <c r="B2829">
        <f t="shared" ca="1" si="99"/>
        <v>577</v>
      </c>
      <c r="C2829" t="s">
        <v>40</v>
      </c>
    </row>
    <row r="2830" spans="1:3" x14ac:dyDescent="0.25">
      <c r="A2830" s="71">
        <f t="shared" si="98"/>
        <v>129466</v>
      </c>
      <c r="B2830">
        <f t="shared" ca="1" si="99"/>
        <v>577</v>
      </c>
      <c r="C2830" t="s">
        <v>40</v>
      </c>
    </row>
    <row r="2831" spans="1:3" x14ac:dyDescent="0.25">
      <c r="A2831" s="71">
        <f t="shared" si="98"/>
        <v>129496</v>
      </c>
      <c r="B2831">
        <f t="shared" ca="1" si="99"/>
        <v>577</v>
      </c>
      <c r="C2831" t="s">
        <v>40</v>
      </c>
    </row>
    <row r="2832" spans="1:3" x14ac:dyDescent="0.25">
      <c r="A2832" s="71">
        <f t="shared" si="98"/>
        <v>129526</v>
      </c>
      <c r="B2832">
        <f t="shared" ca="1" si="99"/>
        <v>577</v>
      </c>
      <c r="C2832" t="s">
        <v>40</v>
      </c>
    </row>
    <row r="2833" spans="1:3" x14ac:dyDescent="0.25">
      <c r="A2833" s="71">
        <f t="shared" si="98"/>
        <v>129556</v>
      </c>
      <c r="B2833">
        <f t="shared" ca="1" si="99"/>
        <v>577</v>
      </c>
      <c r="C2833" t="s">
        <v>40</v>
      </c>
    </row>
    <row r="2834" spans="1:3" x14ac:dyDescent="0.25">
      <c r="A2834" s="71">
        <f t="shared" si="98"/>
        <v>129586</v>
      </c>
      <c r="B2834">
        <f t="shared" ca="1" si="99"/>
        <v>577</v>
      </c>
      <c r="C2834" t="s">
        <v>40</v>
      </c>
    </row>
    <row r="2835" spans="1:3" x14ac:dyDescent="0.25">
      <c r="A2835" s="71">
        <f t="shared" si="98"/>
        <v>129616</v>
      </c>
      <c r="B2835">
        <f t="shared" ca="1" si="99"/>
        <v>577</v>
      </c>
      <c r="C2835" t="s">
        <v>40</v>
      </c>
    </row>
    <row r="2836" spans="1:3" x14ac:dyDescent="0.25">
      <c r="A2836" s="71">
        <f t="shared" si="98"/>
        <v>129646</v>
      </c>
      <c r="B2836">
        <f t="shared" ca="1" si="99"/>
        <v>577</v>
      </c>
      <c r="C2836" t="s">
        <v>40</v>
      </c>
    </row>
    <row r="2837" spans="1:3" x14ac:dyDescent="0.25">
      <c r="A2837" s="71">
        <f t="shared" si="98"/>
        <v>129676</v>
      </c>
      <c r="B2837">
        <f t="shared" ca="1" si="99"/>
        <v>577</v>
      </c>
      <c r="C2837" t="s">
        <v>40</v>
      </c>
    </row>
    <row r="2838" spans="1:3" x14ac:dyDescent="0.25">
      <c r="A2838" s="71">
        <f t="shared" si="98"/>
        <v>129706</v>
      </c>
      <c r="B2838">
        <f t="shared" ca="1" si="99"/>
        <v>577</v>
      </c>
      <c r="C2838" t="s">
        <v>40</v>
      </c>
    </row>
    <row r="2839" spans="1:3" x14ac:dyDescent="0.25">
      <c r="A2839" s="71">
        <f t="shared" si="98"/>
        <v>129736</v>
      </c>
      <c r="B2839">
        <f t="shared" ca="1" si="99"/>
        <v>577</v>
      </c>
      <c r="C2839" t="s">
        <v>40</v>
      </c>
    </row>
    <row r="2840" spans="1:3" x14ac:dyDescent="0.25">
      <c r="A2840" s="71">
        <f t="shared" si="98"/>
        <v>129766</v>
      </c>
      <c r="B2840">
        <f t="shared" ca="1" si="99"/>
        <v>577</v>
      </c>
      <c r="C2840" t="s">
        <v>40</v>
      </c>
    </row>
    <row r="2841" spans="1:3" x14ac:dyDescent="0.25">
      <c r="A2841" s="71">
        <f t="shared" si="98"/>
        <v>129796</v>
      </c>
      <c r="B2841">
        <f t="shared" ca="1" si="99"/>
        <v>577</v>
      </c>
      <c r="C2841" t="s">
        <v>40</v>
      </c>
    </row>
    <row r="2842" spans="1:3" x14ac:dyDescent="0.25">
      <c r="A2842" s="71">
        <f t="shared" si="98"/>
        <v>129826</v>
      </c>
      <c r="B2842">
        <f t="shared" ca="1" si="99"/>
        <v>577</v>
      </c>
      <c r="C2842" t="s">
        <v>40</v>
      </c>
    </row>
    <row r="2843" spans="1:3" x14ac:dyDescent="0.25">
      <c r="A2843" s="71">
        <f t="shared" si="98"/>
        <v>129856</v>
      </c>
      <c r="B2843">
        <f t="shared" ca="1" si="99"/>
        <v>577</v>
      </c>
      <c r="C2843" t="s">
        <v>40</v>
      </c>
    </row>
    <row r="2844" spans="1:3" x14ac:dyDescent="0.25">
      <c r="A2844" s="71">
        <f t="shared" si="98"/>
        <v>129886</v>
      </c>
      <c r="B2844">
        <f t="shared" ca="1" si="99"/>
        <v>577</v>
      </c>
      <c r="C2844" t="s">
        <v>40</v>
      </c>
    </row>
    <row r="2845" spans="1:3" x14ac:dyDescent="0.25">
      <c r="A2845" s="71">
        <f t="shared" si="98"/>
        <v>129916</v>
      </c>
      <c r="B2845">
        <f t="shared" ca="1" si="99"/>
        <v>577</v>
      </c>
      <c r="C2845" t="s">
        <v>40</v>
      </c>
    </row>
    <row r="2846" spans="1:3" x14ac:dyDescent="0.25">
      <c r="A2846" s="71">
        <f t="shared" si="98"/>
        <v>129946</v>
      </c>
      <c r="B2846">
        <f t="shared" ca="1" si="99"/>
        <v>577</v>
      </c>
      <c r="C2846" t="s">
        <v>40</v>
      </c>
    </row>
    <row r="2847" spans="1:3" x14ac:dyDescent="0.25">
      <c r="A2847" s="71">
        <f t="shared" si="98"/>
        <v>129976</v>
      </c>
      <c r="B2847">
        <f t="shared" ca="1" si="99"/>
        <v>577</v>
      </c>
      <c r="C2847" t="s">
        <v>40</v>
      </c>
    </row>
    <row r="2848" spans="1:3" x14ac:dyDescent="0.25">
      <c r="A2848" s="71">
        <f t="shared" si="98"/>
        <v>130006</v>
      </c>
      <c r="B2848">
        <f t="shared" ca="1" si="99"/>
        <v>577</v>
      </c>
      <c r="C2848" t="s">
        <v>40</v>
      </c>
    </row>
    <row r="2849" spans="1:3" x14ac:dyDescent="0.25">
      <c r="A2849" s="71">
        <f t="shared" si="98"/>
        <v>130036</v>
      </c>
      <c r="B2849">
        <f t="shared" ca="1" si="99"/>
        <v>577</v>
      </c>
      <c r="C2849" t="s">
        <v>40</v>
      </c>
    </row>
    <row r="2850" spans="1:3" x14ac:dyDescent="0.25">
      <c r="A2850" s="71">
        <f t="shared" si="98"/>
        <v>130066</v>
      </c>
      <c r="B2850">
        <f t="shared" ca="1" si="99"/>
        <v>577</v>
      </c>
      <c r="C2850" t="s">
        <v>40</v>
      </c>
    </row>
    <row r="2851" spans="1:3" x14ac:dyDescent="0.25">
      <c r="A2851" s="71">
        <f t="shared" si="98"/>
        <v>130096</v>
      </c>
      <c r="B2851">
        <f t="shared" ca="1" si="99"/>
        <v>577</v>
      </c>
      <c r="C2851" t="s">
        <v>40</v>
      </c>
    </row>
    <row r="2852" spans="1:3" x14ac:dyDescent="0.25">
      <c r="A2852" s="71">
        <f t="shared" si="98"/>
        <v>130126</v>
      </c>
      <c r="B2852">
        <f t="shared" ca="1" si="99"/>
        <v>577</v>
      </c>
      <c r="C2852" t="s">
        <v>40</v>
      </c>
    </row>
    <row r="2853" spans="1:3" x14ac:dyDescent="0.25">
      <c r="A2853" s="71">
        <f t="shared" si="98"/>
        <v>130156</v>
      </c>
      <c r="B2853">
        <f t="shared" ca="1" si="99"/>
        <v>577</v>
      </c>
      <c r="C2853" t="s">
        <v>40</v>
      </c>
    </row>
    <row r="2854" spans="1:3" x14ac:dyDescent="0.25">
      <c r="A2854" s="71">
        <f t="shared" si="98"/>
        <v>130186</v>
      </c>
      <c r="B2854">
        <f t="shared" ca="1" si="99"/>
        <v>577</v>
      </c>
      <c r="C2854" t="s">
        <v>40</v>
      </c>
    </row>
    <row r="2855" spans="1:3" x14ac:dyDescent="0.25">
      <c r="A2855" s="71">
        <f t="shared" si="98"/>
        <v>130216</v>
      </c>
      <c r="B2855">
        <f t="shared" ca="1" si="99"/>
        <v>577</v>
      </c>
      <c r="C2855" t="s">
        <v>40</v>
      </c>
    </row>
    <row r="2856" spans="1:3" x14ac:dyDescent="0.25">
      <c r="A2856" s="71">
        <f t="shared" si="98"/>
        <v>130246</v>
      </c>
      <c r="B2856">
        <f t="shared" ca="1" si="99"/>
        <v>577</v>
      </c>
      <c r="C2856" t="s">
        <v>40</v>
      </c>
    </row>
    <row r="2857" spans="1:3" x14ac:dyDescent="0.25">
      <c r="A2857" s="71">
        <f t="shared" si="98"/>
        <v>130276</v>
      </c>
      <c r="B2857">
        <f t="shared" ca="1" si="99"/>
        <v>577</v>
      </c>
      <c r="C2857" t="s">
        <v>40</v>
      </c>
    </row>
    <row r="2858" spans="1:3" x14ac:dyDescent="0.25">
      <c r="A2858" s="71">
        <f t="shared" si="98"/>
        <v>130306</v>
      </c>
      <c r="B2858">
        <f t="shared" ca="1" si="99"/>
        <v>577</v>
      </c>
      <c r="C2858" t="s">
        <v>40</v>
      </c>
    </row>
    <row r="2859" spans="1:3" x14ac:dyDescent="0.25">
      <c r="A2859" s="71">
        <f t="shared" si="98"/>
        <v>130336</v>
      </c>
      <c r="B2859">
        <f t="shared" ca="1" si="99"/>
        <v>577</v>
      </c>
      <c r="C2859" t="s">
        <v>40</v>
      </c>
    </row>
    <row r="2860" spans="1:3" x14ac:dyDescent="0.25">
      <c r="A2860" s="71">
        <f t="shared" si="98"/>
        <v>130366</v>
      </c>
      <c r="B2860">
        <f t="shared" ca="1" si="99"/>
        <v>577</v>
      </c>
      <c r="C2860" t="s">
        <v>40</v>
      </c>
    </row>
    <row r="2861" spans="1:3" x14ac:dyDescent="0.25">
      <c r="A2861" s="71">
        <f t="shared" si="98"/>
        <v>130396</v>
      </c>
      <c r="B2861">
        <f t="shared" ca="1" si="99"/>
        <v>577</v>
      </c>
      <c r="C2861" t="s">
        <v>40</v>
      </c>
    </row>
    <row r="2862" spans="1:3" x14ac:dyDescent="0.25">
      <c r="A2862" s="71">
        <f t="shared" si="98"/>
        <v>130426</v>
      </c>
      <c r="B2862">
        <f t="shared" ca="1" si="99"/>
        <v>577</v>
      </c>
      <c r="C2862" t="s">
        <v>40</v>
      </c>
    </row>
    <row r="2863" spans="1:3" x14ac:dyDescent="0.25">
      <c r="A2863" s="71">
        <f t="shared" si="98"/>
        <v>130456</v>
      </c>
      <c r="B2863">
        <f t="shared" ca="1" si="99"/>
        <v>577</v>
      </c>
      <c r="C2863" t="s">
        <v>40</v>
      </c>
    </row>
    <row r="2864" spans="1:3" x14ac:dyDescent="0.25">
      <c r="A2864" s="71">
        <f t="shared" si="98"/>
        <v>130486</v>
      </c>
      <c r="B2864">
        <f t="shared" ca="1" si="99"/>
        <v>577</v>
      </c>
      <c r="C2864" t="s">
        <v>40</v>
      </c>
    </row>
    <row r="2865" spans="1:3" x14ac:dyDescent="0.25">
      <c r="A2865" s="71">
        <f t="shared" si="98"/>
        <v>130516</v>
      </c>
      <c r="B2865">
        <f t="shared" ca="1" si="99"/>
        <v>577</v>
      </c>
      <c r="C2865" t="s">
        <v>40</v>
      </c>
    </row>
    <row r="2866" spans="1:3" x14ac:dyDescent="0.25">
      <c r="A2866" s="71">
        <f t="shared" si="98"/>
        <v>130546</v>
      </c>
      <c r="B2866">
        <f t="shared" ca="1" si="99"/>
        <v>577</v>
      </c>
      <c r="C2866" t="s">
        <v>40</v>
      </c>
    </row>
    <row r="2867" spans="1:3" x14ac:dyDescent="0.25">
      <c r="A2867" s="71">
        <f t="shared" si="98"/>
        <v>130576</v>
      </c>
      <c r="B2867">
        <f t="shared" ca="1" si="99"/>
        <v>577</v>
      </c>
      <c r="C2867" t="s">
        <v>40</v>
      </c>
    </row>
    <row r="2868" spans="1:3" x14ac:dyDescent="0.25">
      <c r="A2868" s="71">
        <f t="shared" si="98"/>
        <v>130606</v>
      </c>
      <c r="B2868">
        <f t="shared" ca="1" si="99"/>
        <v>577</v>
      </c>
      <c r="C2868" t="s">
        <v>40</v>
      </c>
    </row>
    <row r="2869" spans="1:3" x14ac:dyDescent="0.25">
      <c r="A2869" s="71">
        <f t="shared" si="98"/>
        <v>130636</v>
      </c>
      <c r="B2869">
        <f t="shared" ca="1" si="99"/>
        <v>577</v>
      </c>
      <c r="C2869" t="s">
        <v>40</v>
      </c>
    </row>
    <row r="2870" spans="1:3" x14ac:dyDescent="0.25">
      <c r="A2870" s="71">
        <f t="shared" si="98"/>
        <v>130666</v>
      </c>
      <c r="B2870">
        <f t="shared" ca="1" si="99"/>
        <v>577</v>
      </c>
      <c r="C2870" t="s">
        <v>40</v>
      </c>
    </row>
    <row r="2871" spans="1:3" x14ac:dyDescent="0.25">
      <c r="A2871" s="71">
        <f t="shared" si="98"/>
        <v>130696</v>
      </c>
      <c r="B2871">
        <f t="shared" ca="1" si="99"/>
        <v>577</v>
      </c>
      <c r="C2871" t="s">
        <v>40</v>
      </c>
    </row>
    <row r="2872" spans="1:3" x14ac:dyDescent="0.25">
      <c r="A2872" s="71">
        <f t="shared" si="98"/>
        <v>130726</v>
      </c>
      <c r="B2872">
        <f t="shared" ca="1" si="99"/>
        <v>577</v>
      </c>
      <c r="C2872" t="s">
        <v>40</v>
      </c>
    </row>
    <row r="2873" spans="1:3" x14ac:dyDescent="0.25">
      <c r="A2873" s="71">
        <f t="shared" si="98"/>
        <v>130756</v>
      </c>
      <c r="B2873">
        <f t="shared" ca="1" si="99"/>
        <v>577</v>
      </c>
      <c r="C2873" t="s">
        <v>40</v>
      </c>
    </row>
    <row r="2874" spans="1:3" x14ac:dyDescent="0.25">
      <c r="A2874" s="71">
        <f t="shared" si="98"/>
        <v>130786</v>
      </c>
      <c r="B2874">
        <f t="shared" ca="1" si="99"/>
        <v>577</v>
      </c>
      <c r="C2874" t="s">
        <v>40</v>
      </c>
    </row>
    <row r="2875" spans="1:3" x14ac:dyDescent="0.25">
      <c r="A2875" s="71">
        <f t="shared" si="98"/>
        <v>130816</v>
      </c>
      <c r="B2875">
        <f t="shared" ca="1" si="99"/>
        <v>577</v>
      </c>
      <c r="C2875" t="s">
        <v>40</v>
      </c>
    </row>
    <row r="2876" spans="1:3" x14ac:dyDescent="0.25">
      <c r="A2876" s="71">
        <f t="shared" si="98"/>
        <v>130846</v>
      </c>
      <c r="B2876">
        <f t="shared" ca="1" si="99"/>
        <v>577</v>
      </c>
      <c r="C2876" t="s">
        <v>40</v>
      </c>
    </row>
    <row r="2877" spans="1:3" x14ac:dyDescent="0.25">
      <c r="A2877" s="71">
        <f t="shared" si="98"/>
        <v>130876</v>
      </c>
      <c r="B2877">
        <f t="shared" ca="1" si="99"/>
        <v>577</v>
      </c>
      <c r="C2877" t="s">
        <v>40</v>
      </c>
    </row>
    <row r="2878" spans="1:3" x14ac:dyDescent="0.25">
      <c r="A2878" s="71">
        <f t="shared" si="98"/>
        <v>130906</v>
      </c>
      <c r="B2878">
        <f t="shared" ca="1" si="99"/>
        <v>577</v>
      </c>
      <c r="C2878" t="s">
        <v>40</v>
      </c>
    </row>
    <row r="2879" spans="1:3" x14ac:dyDescent="0.25">
      <c r="A2879" s="71">
        <f t="shared" si="98"/>
        <v>130936</v>
      </c>
      <c r="B2879">
        <f t="shared" ca="1" si="99"/>
        <v>577</v>
      </c>
      <c r="C2879" t="s">
        <v>40</v>
      </c>
    </row>
    <row r="2880" spans="1:3" x14ac:dyDescent="0.25">
      <c r="A2880" s="71">
        <f t="shared" si="98"/>
        <v>130966</v>
      </c>
      <c r="B2880">
        <f t="shared" ca="1" si="99"/>
        <v>577</v>
      </c>
      <c r="C2880" t="s">
        <v>40</v>
      </c>
    </row>
    <row r="2881" spans="1:3" x14ac:dyDescent="0.25">
      <c r="A2881" s="71">
        <f t="shared" si="98"/>
        <v>130996</v>
      </c>
      <c r="B2881">
        <f t="shared" ca="1" si="99"/>
        <v>577</v>
      </c>
      <c r="C2881" t="s">
        <v>40</v>
      </c>
    </row>
    <row r="2882" spans="1:3" x14ac:dyDescent="0.25">
      <c r="A2882" s="71">
        <f t="shared" si="98"/>
        <v>131026</v>
      </c>
      <c r="B2882">
        <f t="shared" ca="1" si="99"/>
        <v>577</v>
      </c>
      <c r="C2882" t="s">
        <v>40</v>
      </c>
    </row>
    <row r="2883" spans="1:3" x14ac:dyDescent="0.25">
      <c r="A2883" s="71">
        <f t="shared" si="98"/>
        <v>131056</v>
      </c>
      <c r="B2883">
        <f t="shared" ca="1" si="99"/>
        <v>577</v>
      </c>
      <c r="C2883" t="s">
        <v>40</v>
      </c>
    </row>
    <row r="2884" spans="1:3" x14ac:dyDescent="0.25">
      <c r="A2884" s="71">
        <f t="shared" si="98"/>
        <v>131086</v>
      </c>
      <c r="B2884">
        <f t="shared" ca="1" si="99"/>
        <v>577</v>
      </c>
      <c r="C2884" t="s">
        <v>40</v>
      </c>
    </row>
    <row r="2885" spans="1:3" x14ac:dyDescent="0.25">
      <c r="A2885" s="71">
        <f t="shared" si="98"/>
        <v>131116</v>
      </c>
      <c r="B2885">
        <f t="shared" ca="1" si="99"/>
        <v>577</v>
      </c>
      <c r="C2885" t="s">
        <v>40</v>
      </c>
    </row>
    <row r="2886" spans="1:3" x14ac:dyDescent="0.25">
      <c r="A2886" s="71">
        <f t="shared" si="98"/>
        <v>131146</v>
      </c>
      <c r="B2886">
        <f t="shared" ca="1" si="99"/>
        <v>577</v>
      </c>
      <c r="C2886" t="s">
        <v>40</v>
      </c>
    </row>
    <row r="2887" spans="1:3" x14ac:dyDescent="0.25">
      <c r="A2887" s="71">
        <f t="shared" si="98"/>
        <v>131176</v>
      </c>
      <c r="B2887">
        <f t="shared" ca="1" si="99"/>
        <v>577</v>
      </c>
      <c r="C2887" t="s">
        <v>40</v>
      </c>
    </row>
    <row r="2888" spans="1:3" x14ac:dyDescent="0.25">
      <c r="A2888" s="71">
        <f t="shared" si="98"/>
        <v>131206</v>
      </c>
      <c r="B2888">
        <f t="shared" ca="1" si="99"/>
        <v>577</v>
      </c>
      <c r="C2888" t="s">
        <v>40</v>
      </c>
    </row>
    <row r="2889" spans="1:3" x14ac:dyDescent="0.25">
      <c r="A2889" s="71">
        <f t="shared" si="98"/>
        <v>131236</v>
      </c>
      <c r="B2889">
        <f t="shared" ca="1" si="99"/>
        <v>577</v>
      </c>
      <c r="C2889" t="s">
        <v>40</v>
      </c>
    </row>
    <row r="2890" spans="1:3" x14ac:dyDescent="0.25">
      <c r="A2890" s="71">
        <f t="shared" si="98"/>
        <v>131266</v>
      </c>
      <c r="B2890">
        <f t="shared" ca="1" si="99"/>
        <v>577</v>
      </c>
      <c r="C2890" t="s">
        <v>40</v>
      </c>
    </row>
    <row r="2891" spans="1:3" x14ac:dyDescent="0.25">
      <c r="A2891" s="71">
        <f t="shared" si="98"/>
        <v>131296</v>
      </c>
      <c r="B2891">
        <f t="shared" ca="1" si="99"/>
        <v>577</v>
      </c>
      <c r="C2891" t="s">
        <v>40</v>
      </c>
    </row>
    <row r="2892" spans="1:3" x14ac:dyDescent="0.25">
      <c r="A2892" s="71">
        <f t="shared" ref="A2892:A2955" si="100">A2891+30</f>
        <v>131326</v>
      </c>
      <c r="B2892">
        <f t="shared" ref="B2892:B2955" ca="1" si="101">B2891</f>
        <v>577</v>
      </c>
      <c r="C2892" t="s">
        <v>40</v>
      </c>
    </row>
    <row r="2893" spans="1:3" x14ac:dyDescent="0.25">
      <c r="A2893" s="71">
        <f t="shared" si="100"/>
        <v>131356</v>
      </c>
      <c r="B2893">
        <f t="shared" ca="1" si="101"/>
        <v>577</v>
      </c>
      <c r="C2893" t="s">
        <v>40</v>
      </c>
    </row>
    <row r="2894" spans="1:3" x14ac:dyDescent="0.25">
      <c r="A2894" s="71">
        <f t="shared" si="100"/>
        <v>131386</v>
      </c>
      <c r="B2894">
        <f t="shared" ca="1" si="101"/>
        <v>577</v>
      </c>
      <c r="C2894" t="s">
        <v>40</v>
      </c>
    </row>
    <row r="2895" spans="1:3" x14ac:dyDescent="0.25">
      <c r="A2895" s="71">
        <f t="shared" si="100"/>
        <v>131416</v>
      </c>
      <c r="B2895">
        <f t="shared" ca="1" si="101"/>
        <v>577</v>
      </c>
      <c r="C2895" t="s">
        <v>40</v>
      </c>
    </row>
    <row r="2896" spans="1:3" x14ac:dyDescent="0.25">
      <c r="A2896" s="71">
        <f t="shared" si="100"/>
        <v>131446</v>
      </c>
      <c r="B2896">
        <f t="shared" ca="1" si="101"/>
        <v>577</v>
      </c>
      <c r="C2896" t="s">
        <v>40</v>
      </c>
    </row>
    <row r="2897" spans="1:3" x14ac:dyDescent="0.25">
      <c r="A2897" s="71">
        <f t="shared" si="100"/>
        <v>131476</v>
      </c>
      <c r="B2897">
        <f t="shared" ca="1" si="101"/>
        <v>577</v>
      </c>
      <c r="C2897" t="s">
        <v>40</v>
      </c>
    </row>
    <row r="2898" spans="1:3" x14ac:dyDescent="0.25">
      <c r="A2898" s="71">
        <f t="shared" si="100"/>
        <v>131506</v>
      </c>
      <c r="B2898">
        <f t="shared" ca="1" si="101"/>
        <v>577</v>
      </c>
      <c r="C2898" t="s">
        <v>40</v>
      </c>
    </row>
    <row r="2899" spans="1:3" x14ac:dyDescent="0.25">
      <c r="A2899" s="71">
        <f t="shared" si="100"/>
        <v>131536</v>
      </c>
      <c r="B2899">
        <f t="shared" ca="1" si="101"/>
        <v>577</v>
      </c>
      <c r="C2899" t="s">
        <v>40</v>
      </c>
    </row>
    <row r="2900" spans="1:3" x14ac:dyDescent="0.25">
      <c r="A2900" s="71">
        <f t="shared" si="100"/>
        <v>131566</v>
      </c>
      <c r="B2900">
        <f t="shared" ca="1" si="101"/>
        <v>577</v>
      </c>
      <c r="C2900" t="s">
        <v>40</v>
      </c>
    </row>
    <row r="2901" spans="1:3" x14ac:dyDescent="0.25">
      <c r="A2901" s="71">
        <f t="shared" si="100"/>
        <v>131596</v>
      </c>
      <c r="B2901">
        <f t="shared" ca="1" si="101"/>
        <v>577</v>
      </c>
      <c r="C2901" t="s">
        <v>40</v>
      </c>
    </row>
    <row r="2902" spans="1:3" x14ac:dyDescent="0.25">
      <c r="A2902" s="71">
        <f t="shared" si="100"/>
        <v>131626</v>
      </c>
      <c r="B2902">
        <f t="shared" ca="1" si="101"/>
        <v>577</v>
      </c>
      <c r="C2902" t="s">
        <v>40</v>
      </c>
    </row>
    <row r="2903" spans="1:3" x14ac:dyDescent="0.25">
      <c r="A2903" s="71">
        <f t="shared" si="100"/>
        <v>131656</v>
      </c>
      <c r="B2903">
        <f t="shared" ca="1" si="101"/>
        <v>577</v>
      </c>
      <c r="C2903" t="s">
        <v>40</v>
      </c>
    </row>
    <row r="2904" spans="1:3" x14ac:dyDescent="0.25">
      <c r="A2904" s="71">
        <f t="shared" si="100"/>
        <v>131686</v>
      </c>
      <c r="B2904">
        <f t="shared" ca="1" si="101"/>
        <v>577</v>
      </c>
      <c r="C2904" t="s">
        <v>40</v>
      </c>
    </row>
    <row r="2905" spans="1:3" x14ac:dyDescent="0.25">
      <c r="A2905" s="71">
        <f t="shared" si="100"/>
        <v>131716</v>
      </c>
      <c r="B2905">
        <f t="shared" ca="1" si="101"/>
        <v>577</v>
      </c>
      <c r="C2905" t="s">
        <v>40</v>
      </c>
    </row>
    <row r="2906" spans="1:3" x14ac:dyDescent="0.25">
      <c r="A2906" s="71">
        <f t="shared" si="100"/>
        <v>131746</v>
      </c>
      <c r="B2906">
        <f t="shared" ca="1" si="101"/>
        <v>577</v>
      </c>
      <c r="C2906" t="s">
        <v>40</v>
      </c>
    </row>
    <row r="2907" spans="1:3" x14ac:dyDescent="0.25">
      <c r="A2907" s="71">
        <f t="shared" si="100"/>
        <v>131776</v>
      </c>
      <c r="B2907">
        <f t="shared" ca="1" si="101"/>
        <v>577</v>
      </c>
      <c r="C2907" t="s">
        <v>40</v>
      </c>
    </row>
    <row r="2908" spans="1:3" x14ac:dyDescent="0.25">
      <c r="A2908" s="71">
        <f t="shared" si="100"/>
        <v>131806</v>
      </c>
      <c r="B2908">
        <f t="shared" ca="1" si="101"/>
        <v>577</v>
      </c>
      <c r="C2908" t="s">
        <v>40</v>
      </c>
    </row>
    <row r="2909" spans="1:3" x14ac:dyDescent="0.25">
      <c r="A2909" s="71">
        <f t="shared" si="100"/>
        <v>131836</v>
      </c>
      <c r="B2909">
        <f t="shared" ca="1" si="101"/>
        <v>577</v>
      </c>
      <c r="C2909" t="s">
        <v>40</v>
      </c>
    </row>
    <row r="2910" spans="1:3" x14ac:dyDescent="0.25">
      <c r="A2910" s="71">
        <f t="shared" si="100"/>
        <v>131866</v>
      </c>
      <c r="B2910">
        <f t="shared" ca="1" si="101"/>
        <v>577</v>
      </c>
      <c r="C2910" t="s">
        <v>40</v>
      </c>
    </row>
    <row r="2911" spans="1:3" x14ac:dyDescent="0.25">
      <c r="A2911" s="71">
        <f t="shared" si="100"/>
        <v>131896</v>
      </c>
      <c r="B2911">
        <f t="shared" ca="1" si="101"/>
        <v>577</v>
      </c>
      <c r="C2911" t="s">
        <v>40</v>
      </c>
    </row>
    <row r="2912" spans="1:3" x14ac:dyDescent="0.25">
      <c r="A2912" s="71">
        <f t="shared" si="100"/>
        <v>131926</v>
      </c>
      <c r="B2912">
        <f t="shared" ca="1" si="101"/>
        <v>577</v>
      </c>
      <c r="C2912" t="s">
        <v>40</v>
      </c>
    </row>
    <row r="2913" spans="1:3" x14ac:dyDescent="0.25">
      <c r="A2913" s="71">
        <f t="shared" si="100"/>
        <v>131956</v>
      </c>
      <c r="B2913">
        <f t="shared" ca="1" si="101"/>
        <v>577</v>
      </c>
      <c r="C2913" t="s">
        <v>40</v>
      </c>
    </row>
    <row r="2914" spans="1:3" x14ac:dyDescent="0.25">
      <c r="A2914" s="71">
        <f t="shared" si="100"/>
        <v>131986</v>
      </c>
      <c r="B2914">
        <f t="shared" ca="1" si="101"/>
        <v>577</v>
      </c>
      <c r="C2914" t="s">
        <v>40</v>
      </c>
    </row>
    <row r="2915" spans="1:3" x14ac:dyDescent="0.25">
      <c r="A2915" s="71">
        <f t="shared" si="100"/>
        <v>132016</v>
      </c>
      <c r="B2915">
        <f t="shared" ca="1" si="101"/>
        <v>577</v>
      </c>
      <c r="C2915" t="s">
        <v>40</v>
      </c>
    </row>
    <row r="2916" spans="1:3" x14ac:dyDescent="0.25">
      <c r="A2916" s="71">
        <f t="shared" si="100"/>
        <v>132046</v>
      </c>
      <c r="B2916">
        <f t="shared" ca="1" si="101"/>
        <v>577</v>
      </c>
      <c r="C2916" t="s">
        <v>40</v>
      </c>
    </row>
    <row r="2917" spans="1:3" x14ac:dyDescent="0.25">
      <c r="A2917" s="71">
        <f t="shared" si="100"/>
        <v>132076</v>
      </c>
      <c r="B2917">
        <f t="shared" ca="1" si="101"/>
        <v>577</v>
      </c>
      <c r="C2917" t="s">
        <v>40</v>
      </c>
    </row>
    <row r="2918" spans="1:3" x14ac:dyDescent="0.25">
      <c r="A2918" s="71">
        <f t="shared" si="100"/>
        <v>132106</v>
      </c>
      <c r="B2918">
        <f t="shared" ca="1" si="101"/>
        <v>577</v>
      </c>
      <c r="C2918" t="s">
        <v>40</v>
      </c>
    </row>
    <row r="2919" spans="1:3" x14ac:dyDescent="0.25">
      <c r="A2919" s="71">
        <f t="shared" si="100"/>
        <v>132136</v>
      </c>
      <c r="B2919">
        <f t="shared" ca="1" si="101"/>
        <v>577</v>
      </c>
      <c r="C2919" t="s">
        <v>40</v>
      </c>
    </row>
    <row r="2920" spans="1:3" x14ac:dyDescent="0.25">
      <c r="A2920" s="71">
        <f t="shared" si="100"/>
        <v>132166</v>
      </c>
      <c r="B2920">
        <f t="shared" ca="1" si="101"/>
        <v>577</v>
      </c>
      <c r="C2920" t="s">
        <v>40</v>
      </c>
    </row>
    <row r="2921" spans="1:3" x14ac:dyDescent="0.25">
      <c r="A2921" s="71">
        <f t="shared" si="100"/>
        <v>132196</v>
      </c>
      <c r="B2921">
        <f t="shared" ca="1" si="101"/>
        <v>577</v>
      </c>
      <c r="C2921" t="s">
        <v>40</v>
      </c>
    </row>
    <row r="2922" spans="1:3" x14ac:dyDescent="0.25">
      <c r="A2922" s="71">
        <f t="shared" si="100"/>
        <v>132226</v>
      </c>
      <c r="B2922">
        <f t="shared" ca="1" si="101"/>
        <v>577</v>
      </c>
      <c r="C2922" t="s">
        <v>40</v>
      </c>
    </row>
    <row r="2923" spans="1:3" x14ac:dyDescent="0.25">
      <c r="A2923" s="71">
        <f t="shared" si="100"/>
        <v>132256</v>
      </c>
      <c r="B2923">
        <f t="shared" ca="1" si="101"/>
        <v>577</v>
      </c>
      <c r="C2923" t="s">
        <v>40</v>
      </c>
    </row>
    <row r="2924" spans="1:3" x14ac:dyDescent="0.25">
      <c r="A2924" s="71">
        <f t="shared" si="100"/>
        <v>132286</v>
      </c>
      <c r="B2924">
        <f t="shared" ca="1" si="101"/>
        <v>577</v>
      </c>
      <c r="C2924" t="s">
        <v>40</v>
      </c>
    </row>
    <row r="2925" spans="1:3" x14ac:dyDescent="0.25">
      <c r="A2925" s="71">
        <f t="shared" si="100"/>
        <v>132316</v>
      </c>
      <c r="B2925">
        <f t="shared" ca="1" si="101"/>
        <v>577</v>
      </c>
      <c r="C2925" t="s">
        <v>40</v>
      </c>
    </row>
    <row r="2926" spans="1:3" x14ac:dyDescent="0.25">
      <c r="A2926" s="71">
        <f t="shared" si="100"/>
        <v>132346</v>
      </c>
      <c r="B2926">
        <f t="shared" ca="1" si="101"/>
        <v>577</v>
      </c>
      <c r="C2926" t="s">
        <v>40</v>
      </c>
    </row>
    <row r="2927" spans="1:3" x14ac:dyDescent="0.25">
      <c r="A2927" s="71">
        <f t="shared" si="100"/>
        <v>132376</v>
      </c>
      <c r="B2927">
        <f t="shared" ca="1" si="101"/>
        <v>577</v>
      </c>
      <c r="C2927" t="s">
        <v>40</v>
      </c>
    </row>
    <row r="2928" spans="1:3" x14ac:dyDescent="0.25">
      <c r="A2928" s="71">
        <f t="shared" si="100"/>
        <v>132406</v>
      </c>
      <c r="B2928">
        <f t="shared" ca="1" si="101"/>
        <v>577</v>
      </c>
      <c r="C2928" t="s">
        <v>40</v>
      </c>
    </row>
    <row r="2929" spans="1:3" x14ac:dyDescent="0.25">
      <c r="A2929" s="71">
        <f t="shared" si="100"/>
        <v>132436</v>
      </c>
      <c r="B2929">
        <f t="shared" ca="1" si="101"/>
        <v>577</v>
      </c>
      <c r="C2929" t="s">
        <v>40</v>
      </c>
    </row>
    <row r="2930" spans="1:3" x14ac:dyDescent="0.25">
      <c r="A2930" s="71">
        <f t="shared" si="100"/>
        <v>132466</v>
      </c>
      <c r="B2930">
        <f t="shared" ca="1" si="101"/>
        <v>577</v>
      </c>
      <c r="C2930" t="s">
        <v>40</v>
      </c>
    </row>
    <row r="2931" spans="1:3" x14ac:dyDescent="0.25">
      <c r="A2931" s="71">
        <f t="shared" si="100"/>
        <v>132496</v>
      </c>
      <c r="B2931">
        <f t="shared" ca="1" si="101"/>
        <v>577</v>
      </c>
      <c r="C2931" t="s">
        <v>40</v>
      </c>
    </row>
    <row r="2932" spans="1:3" x14ac:dyDescent="0.25">
      <c r="A2932" s="71">
        <f t="shared" si="100"/>
        <v>132526</v>
      </c>
      <c r="B2932">
        <f t="shared" ca="1" si="101"/>
        <v>577</v>
      </c>
      <c r="C2932" t="s">
        <v>40</v>
      </c>
    </row>
    <row r="2933" spans="1:3" x14ac:dyDescent="0.25">
      <c r="A2933" s="71">
        <f t="shared" si="100"/>
        <v>132556</v>
      </c>
      <c r="B2933">
        <f t="shared" ca="1" si="101"/>
        <v>577</v>
      </c>
      <c r="C2933" t="s">
        <v>40</v>
      </c>
    </row>
    <row r="2934" spans="1:3" x14ac:dyDescent="0.25">
      <c r="A2934" s="71">
        <f t="shared" si="100"/>
        <v>132586</v>
      </c>
      <c r="B2934">
        <f t="shared" ca="1" si="101"/>
        <v>577</v>
      </c>
      <c r="C2934" t="s">
        <v>40</v>
      </c>
    </row>
    <row r="2935" spans="1:3" x14ac:dyDescent="0.25">
      <c r="A2935" s="71">
        <f t="shared" si="100"/>
        <v>132616</v>
      </c>
      <c r="B2935">
        <f t="shared" ca="1" si="101"/>
        <v>577</v>
      </c>
      <c r="C2935" t="s">
        <v>40</v>
      </c>
    </row>
    <row r="2936" spans="1:3" x14ac:dyDescent="0.25">
      <c r="A2936" s="71">
        <f t="shared" si="100"/>
        <v>132646</v>
      </c>
      <c r="B2936">
        <f t="shared" ca="1" si="101"/>
        <v>577</v>
      </c>
      <c r="C2936" t="s">
        <v>40</v>
      </c>
    </row>
    <row r="2937" spans="1:3" x14ac:dyDescent="0.25">
      <c r="A2937" s="71">
        <f t="shared" si="100"/>
        <v>132676</v>
      </c>
      <c r="B2937">
        <f t="shared" ca="1" si="101"/>
        <v>577</v>
      </c>
      <c r="C2937" t="s">
        <v>40</v>
      </c>
    </row>
    <row r="2938" spans="1:3" x14ac:dyDescent="0.25">
      <c r="A2938" s="71">
        <f t="shared" si="100"/>
        <v>132706</v>
      </c>
      <c r="B2938">
        <f t="shared" ca="1" si="101"/>
        <v>577</v>
      </c>
      <c r="C2938" t="s">
        <v>40</v>
      </c>
    </row>
    <row r="2939" spans="1:3" x14ac:dyDescent="0.25">
      <c r="A2939" s="71">
        <f t="shared" si="100"/>
        <v>132736</v>
      </c>
      <c r="B2939">
        <f t="shared" ca="1" si="101"/>
        <v>577</v>
      </c>
      <c r="C2939" t="s">
        <v>40</v>
      </c>
    </row>
    <row r="2940" spans="1:3" x14ac:dyDescent="0.25">
      <c r="A2940" s="71">
        <f t="shared" si="100"/>
        <v>132766</v>
      </c>
      <c r="B2940">
        <f t="shared" ca="1" si="101"/>
        <v>577</v>
      </c>
      <c r="C2940" t="s">
        <v>40</v>
      </c>
    </row>
    <row r="2941" spans="1:3" x14ac:dyDescent="0.25">
      <c r="A2941" s="71">
        <f t="shared" si="100"/>
        <v>132796</v>
      </c>
      <c r="B2941">
        <f t="shared" ca="1" si="101"/>
        <v>577</v>
      </c>
      <c r="C2941" t="s">
        <v>40</v>
      </c>
    </row>
    <row r="2942" spans="1:3" x14ac:dyDescent="0.25">
      <c r="A2942" s="71">
        <f t="shared" si="100"/>
        <v>132826</v>
      </c>
      <c r="B2942">
        <f t="shared" ca="1" si="101"/>
        <v>577</v>
      </c>
      <c r="C2942" t="s">
        <v>40</v>
      </c>
    </row>
    <row r="2943" spans="1:3" x14ac:dyDescent="0.25">
      <c r="A2943" s="71">
        <f t="shared" si="100"/>
        <v>132856</v>
      </c>
      <c r="B2943">
        <f t="shared" ca="1" si="101"/>
        <v>577</v>
      </c>
      <c r="C2943" t="s">
        <v>40</v>
      </c>
    </row>
    <row r="2944" spans="1:3" x14ac:dyDescent="0.25">
      <c r="A2944" s="71">
        <f t="shared" si="100"/>
        <v>132886</v>
      </c>
      <c r="B2944">
        <f t="shared" ca="1" si="101"/>
        <v>577</v>
      </c>
      <c r="C2944" t="s">
        <v>40</v>
      </c>
    </row>
    <row r="2945" spans="1:3" x14ac:dyDescent="0.25">
      <c r="A2945" s="71">
        <f t="shared" si="100"/>
        <v>132916</v>
      </c>
      <c r="B2945">
        <f t="shared" ca="1" si="101"/>
        <v>577</v>
      </c>
      <c r="C2945" t="s">
        <v>40</v>
      </c>
    </row>
    <row r="2946" spans="1:3" x14ac:dyDescent="0.25">
      <c r="A2946" s="71">
        <f t="shared" si="100"/>
        <v>132946</v>
      </c>
      <c r="B2946">
        <f t="shared" ca="1" si="101"/>
        <v>577</v>
      </c>
      <c r="C2946" t="s">
        <v>40</v>
      </c>
    </row>
    <row r="2947" spans="1:3" x14ac:dyDescent="0.25">
      <c r="A2947" s="71">
        <f t="shared" si="100"/>
        <v>132976</v>
      </c>
      <c r="B2947">
        <f t="shared" ca="1" si="101"/>
        <v>577</v>
      </c>
      <c r="C2947" t="s">
        <v>40</v>
      </c>
    </row>
    <row r="2948" spans="1:3" x14ac:dyDescent="0.25">
      <c r="A2948" s="71">
        <f t="shared" si="100"/>
        <v>133006</v>
      </c>
      <c r="B2948">
        <f t="shared" ca="1" si="101"/>
        <v>577</v>
      </c>
      <c r="C2948" t="s">
        <v>40</v>
      </c>
    </row>
    <row r="2949" spans="1:3" x14ac:dyDescent="0.25">
      <c r="A2949" s="71">
        <f t="shared" si="100"/>
        <v>133036</v>
      </c>
      <c r="B2949">
        <f t="shared" ca="1" si="101"/>
        <v>577</v>
      </c>
      <c r="C2949" t="s">
        <v>40</v>
      </c>
    </row>
    <row r="2950" spans="1:3" x14ac:dyDescent="0.25">
      <c r="A2950" s="71">
        <f t="shared" si="100"/>
        <v>133066</v>
      </c>
      <c r="B2950">
        <f t="shared" ca="1" si="101"/>
        <v>577</v>
      </c>
      <c r="C2950" t="s">
        <v>40</v>
      </c>
    </row>
    <row r="2951" spans="1:3" x14ac:dyDescent="0.25">
      <c r="A2951" s="71">
        <f t="shared" si="100"/>
        <v>133096</v>
      </c>
      <c r="B2951">
        <f t="shared" ca="1" si="101"/>
        <v>577</v>
      </c>
      <c r="C2951" t="s">
        <v>40</v>
      </c>
    </row>
    <row r="2952" spans="1:3" x14ac:dyDescent="0.25">
      <c r="A2952" s="71">
        <f t="shared" si="100"/>
        <v>133126</v>
      </c>
      <c r="B2952">
        <f t="shared" ca="1" si="101"/>
        <v>577</v>
      </c>
      <c r="C2952" t="s">
        <v>40</v>
      </c>
    </row>
    <row r="2953" spans="1:3" x14ac:dyDescent="0.25">
      <c r="A2953" s="71">
        <f t="shared" si="100"/>
        <v>133156</v>
      </c>
      <c r="B2953">
        <f t="shared" ca="1" si="101"/>
        <v>577</v>
      </c>
      <c r="C2953" t="s">
        <v>40</v>
      </c>
    </row>
    <row r="2954" spans="1:3" x14ac:dyDescent="0.25">
      <c r="A2954" s="71">
        <f t="shared" si="100"/>
        <v>133186</v>
      </c>
      <c r="B2954">
        <f t="shared" ca="1" si="101"/>
        <v>577</v>
      </c>
      <c r="C2954" t="s">
        <v>40</v>
      </c>
    </row>
    <row r="2955" spans="1:3" x14ac:dyDescent="0.25">
      <c r="A2955" s="71">
        <f t="shared" si="100"/>
        <v>133216</v>
      </c>
      <c r="B2955">
        <f t="shared" ca="1" si="101"/>
        <v>577</v>
      </c>
      <c r="C2955" t="s">
        <v>40</v>
      </c>
    </row>
    <row r="2956" spans="1:3" x14ac:dyDescent="0.25">
      <c r="A2956" s="71">
        <f t="shared" ref="A2956:A2958" si="102">A2955+30</f>
        <v>133246</v>
      </c>
      <c r="B2956">
        <f t="shared" ref="B2956:B2958" ca="1" si="103">B2955</f>
        <v>577</v>
      </c>
      <c r="C2956" t="s">
        <v>40</v>
      </c>
    </row>
    <row r="2957" spans="1:3" x14ac:dyDescent="0.25">
      <c r="A2957" s="71">
        <f t="shared" si="102"/>
        <v>133276</v>
      </c>
      <c r="B2957">
        <f t="shared" ca="1" si="103"/>
        <v>577</v>
      </c>
      <c r="C2957" t="s">
        <v>40</v>
      </c>
    </row>
    <row r="2958" spans="1:3" x14ac:dyDescent="0.25">
      <c r="A2958" s="71">
        <f t="shared" si="102"/>
        <v>133306</v>
      </c>
      <c r="B2958">
        <f t="shared" ca="1" si="103"/>
        <v>577</v>
      </c>
      <c r="C2958" t="s">
        <v>40</v>
      </c>
    </row>
    <row r="2959" spans="1:3" x14ac:dyDescent="0.25">
      <c r="A2959" s="71"/>
    </row>
    <row r="2960" spans="1:3" x14ac:dyDescent="0.25">
      <c r="A2960" s="71"/>
    </row>
    <row r="2961" spans="1:1" x14ac:dyDescent="0.25">
      <c r="A2961" s="71"/>
    </row>
    <row r="2962" spans="1:1" x14ac:dyDescent="0.25">
      <c r="A2962" s="71"/>
    </row>
    <row r="2963" spans="1:1" x14ac:dyDescent="0.25">
      <c r="A2963" s="71"/>
    </row>
    <row r="2964" spans="1:1" x14ac:dyDescent="0.25">
      <c r="A2964" s="71"/>
    </row>
    <row r="2965" spans="1:1" x14ac:dyDescent="0.25">
      <c r="A2965" s="71"/>
    </row>
    <row r="2966" spans="1:1" x14ac:dyDescent="0.25">
      <c r="A2966" s="71"/>
    </row>
    <row r="2967" spans="1:1" x14ac:dyDescent="0.25">
      <c r="A2967" s="71"/>
    </row>
    <row r="2968" spans="1:1" x14ac:dyDescent="0.25">
      <c r="A2968" s="71"/>
    </row>
    <row r="2969" spans="1:1" x14ac:dyDescent="0.25">
      <c r="A2969" s="71"/>
    </row>
    <row r="2970" spans="1:1" x14ac:dyDescent="0.25">
      <c r="A2970" s="71"/>
    </row>
    <row r="2971" spans="1:1" x14ac:dyDescent="0.25">
      <c r="A2971" s="71"/>
    </row>
    <row r="2972" spans="1:1" x14ac:dyDescent="0.25">
      <c r="A2972" s="71"/>
    </row>
    <row r="2973" spans="1:1" x14ac:dyDescent="0.25">
      <c r="A2973" s="71"/>
    </row>
    <row r="2974" spans="1:1" x14ac:dyDescent="0.25">
      <c r="A2974" s="71"/>
    </row>
    <row r="2975" spans="1:1" x14ac:dyDescent="0.25">
      <c r="A2975" s="71"/>
    </row>
    <row r="2976" spans="1:1" x14ac:dyDescent="0.25">
      <c r="A2976" s="71"/>
    </row>
    <row r="2977" spans="1:1" x14ac:dyDescent="0.25">
      <c r="A2977" s="71"/>
    </row>
    <row r="2978" spans="1:1" x14ac:dyDescent="0.25">
      <c r="A2978" s="71"/>
    </row>
    <row r="2979" spans="1:1" x14ac:dyDescent="0.25">
      <c r="A2979" s="71"/>
    </row>
    <row r="2980" spans="1:1" x14ac:dyDescent="0.25">
      <c r="A2980" s="71"/>
    </row>
    <row r="2981" spans="1:1" x14ac:dyDescent="0.25">
      <c r="A2981" s="71"/>
    </row>
    <row r="2982" spans="1:1" x14ac:dyDescent="0.25">
      <c r="A2982" s="71"/>
    </row>
    <row r="2983" spans="1:1" x14ac:dyDescent="0.25">
      <c r="A2983" s="71"/>
    </row>
    <row r="2984" spans="1:1" x14ac:dyDescent="0.25">
      <c r="A2984" s="71"/>
    </row>
    <row r="2985" spans="1:1" x14ac:dyDescent="0.25">
      <c r="A2985" s="71"/>
    </row>
    <row r="2986" spans="1:1" x14ac:dyDescent="0.25">
      <c r="A2986" s="71"/>
    </row>
    <row r="2987" spans="1:1" x14ac:dyDescent="0.25">
      <c r="A2987" s="71"/>
    </row>
    <row r="2988" spans="1:1" x14ac:dyDescent="0.25">
      <c r="A2988" s="71"/>
    </row>
    <row r="2989" spans="1:1" x14ac:dyDescent="0.25">
      <c r="A2989" s="71"/>
    </row>
    <row r="2990" spans="1:1" x14ac:dyDescent="0.25">
      <c r="A2990" s="71"/>
    </row>
    <row r="2991" spans="1:1" x14ac:dyDescent="0.25">
      <c r="A2991" s="71"/>
    </row>
    <row r="2992" spans="1:1" x14ac:dyDescent="0.25">
      <c r="A2992" s="71"/>
    </row>
    <row r="2993" spans="1:1" x14ac:dyDescent="0.25">
      <c r="A2993" s="71"/>
    </row>
    <row r="2994" spans="1:1" x14ac:dyDescent="0.25">
      <c r="A2994" s="71"/>
    </row>
    <row r="2995" spans="1:1" x14ac:dyDescent="0.25">
      <c r="A2995" s="71"/>
    </row>
    <row r="2996" spans="1:1" x14ac:dyDescent="0.25">
      <c r="A2996" s="71"/>
    </row>
    <row r="2997" spans="1:1" x14ac:dyDescent="0.25">
      <c r="A2997" s="71"/>
    </row>
    <row r="2998" spans="1:1" x14ac:dyDescent="0.25">
      <c r="A2998" s="71"/>
    </row>
    <row r="2999" spans="1:1" x14ac:dyDescent="0.25">
      <c r="A2999" s="71"/>
    </row>
    <row r="3000" spans="1:1" x14ac:dyDescent="0.25">
      <c r="A3000" s="71"/>
    </row>
    <row r="3001" spans="1:1" x14ac:dyDescent="0.25">
      <c r="A3001" s="71"/>
    </row>
    <row r="3002" spans="1:1" x14ac:dyDescent="0.25">
      <c r="A3002" s="71"/>
    </row>
    <row r="3003" spans="1:1" x14ac:dyDescent="0.25">
      <c r="A3003" s="71"/>
    </row>
    <row r="3004" spans="1:1" x14ac:dyDescent="0.25">
      <c r="A3004" s="71"/>
    </row>
    <row r="3005" spans="1:1" x14ac:dyDescent="0.25">
      <c r="A3005" s="71"/>
    </row>
    <row r="3006" spans="1:1" x14ac:dyDescent="0.25">
      <c r="A3006" s="71"/>
    </row>
    <row r="3007" spans="1:1" x14ac:dyDescent="0.25">
      <c r="A3007" s="71"/>
    </row>
    <row r="3008" spans="1:1" x14ac:dyDescent="0.25">
      <c r="A3008" s="71"/>
    </row>
    <row r="3009" spans="1:1" x14ac:dyDescent="0.25">
      <c r="A3009" s="71"/>
    </row>
    <row r="3010" spans="1:1" x14ac:dyDescent="0.25">
      <c r="A3010" s="71"/>
    </row>
    <row r="3011" spans="1:1" x14ac:dyDescent="0.25">
      <c r="A3011" s="71"/>
    </row>
    <row r="3012" spans="1:1" x14ac:dyDescent="0.25">
      <c r="A3012" s="71"/>
    </row>
  </sheetData>
  <mergeCells count="7">
    <mergeCell ref="P8:R8"/>
    <mergeCell ref="M12:N12"/>
    <mergeCell ref="D4:E4"/>
    <mergeCell ref="A9:B9"/>
    <mergeCell ref="E9:F9"/>
    <mergeCell ref="I9:J9"/>
    <mergeCell ref="M8:N8"/>
  </mergeCells>
  <dataValidations count="1">
    <dataValidation type="list" allowBlank="1" showInputMessage="1" showErrorMessage="1" sqref="C10:C2958 G10:G185 K10:K97" xr:uid="{24AAC3FE-321D-42B4-9147-14F0703C8EC6}">
      <formula1>$G$2:$H$2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91E44E-C65D-46B4-B1C8-512637ADE221}">
          <x14:formula1>
            <xm:f>APY!$AE$3:$AE$7</xm:f>
          </x14:formula1>
          <xm:sqref>D6:D8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APY</vt:lpstr>
      <vt:lpstr>Dashboard1</vt:lpstr>
      <vt:lpstr>Dashboard2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</dc:creator>
  <cp:lastModifiedBy>Dhaval Tharkar</cp:lastModifiedBy>
  <dcterms:created xsi:type="dcterms:W3CDTF">2024-04-16T13:07:42Z</dcterms:created>
  <dcterms:modified xsi:type="dcterms:W3CDTF">2026-02-05T13:13:10Z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2016-02-22T00:00:00Z</vt:filetime>
  </property>
  <property fmtid="{D5CDD505-2E9C-101B-9397-08002B2CF9AE}" pid="3" name="Creator">
    <vt:lpwstr>Calc</vt:lpwstr>
  </property>
  <property fmtid="{D5CDD505-2E9C-101B-9397-08002B2CF9AE}" pid="4" name="Producer">
    <vt:lpwstr>OpenOffice 4.1.1</vt:lpwstr>
  </property>
  <property fmtid="{D5CDD505-2E9C-101B-9397-08002B2CF9AE}" pid="5" name="LastSaved">
    <vt:filetime>2016-02-22T00:00:00Z</vt:filetime>
  </property>
</Properties>
</file>